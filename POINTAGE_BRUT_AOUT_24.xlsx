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.NIMI\Desktop\DIVERS\Fichiers\"/>
    </mc:Choice>
  </mc:AlternateContent>
  <xr:revisionPtr revIDLastSave="0" documentId="13_ncr:1_{052224FB-FB7D-4C16-8FDF-6A7FB3FB2B3A}" xr6:coauthVersionLast="47" xr6:coauthVersionMax="47" xr10:uidLastSave="{00000000-0000-0000-0000-000000000000}"/>
  <bookViews>
    <workbookView xWindow="28690" yWindow="-110" windowWidth="29020" windowHeight="15700" activeTab="4" xr2:uid="{00000000-000D-0000-FFFF-FFFF00000000}"/>
  </bookViews>
  <sheets>
    <sheet name="POINTAGES" sheetId="1" r:id="rId1"/>
    <sheet name="HS" sheetId="3" r:id="rId2"/>
    <sheet name="CODE_POINTAGE" sheetId="2" r:id="rId3"/>
    <sheet name="Feuil1" sheetId="4" r:id="rId4"/>
    <sheet name="Feuil2" sheetId="5" r:id="rId5"/>
    <sheet name="Configurations" sheetId="6" r:id="rId6"/>
  </sheets>
  <definedNames>
    <definedName name="_xlnm._FilterDatabase" localSheetId="3" hidden="1">Feuil1!$C$4:$K$35</definedName>
    <definedName name="POSE_CSKN">Configurations!$K$5:$M$13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5" l="1"/>
  <c r="L15" i="5"/>
  <c r="F3" i="5"/>
  <c r="L12" i="5"/>
  <c r="F4" i="5"/>
  <c r="F5" i="5"/>
  <c r="F6" i="5"/>
  <c r="F7" i="5"/>
  <c r="F8" i="5"/>
  <c r="F9" i="5"/>
  <c r="F10" i="5"/>
  <c r="F11" i="5"/>
  <c r="F12" i="5"/>
  <c r="F13" i="5"/>
  <c r="F14" i="5"/>
  <c r="G4" i="5"/>
  <c r="G5" i="5"/>
  <c r="G6" i="5"/>
  <c r="G7" i="5"/>
  <c r="G8" i="5"/>
  <c r="G9" i="5"/>
  <c r="G34" i="5" s="1"/>
  <c r="G11" i="5"/>
  <c r="G12" i="5"/>
  <c r="G13" i="5"/>
  <c r="G15" i="5"/>
  <c r="G16" i="5"/>
  <c r="G18" i="5"/>
  <c r="G19" i="5"/>
  <c r="G20" i="5"/>
  <c r="G21" i="5"/>
  <c r="G22" i="5"/>
  <c r="G23" i="5"/>
  <c r="G25" i="5"/>
  <c r="G26" i="5"/>
  <c r="G27" i="5"/>
  <c r="G28" i="5"/>
  <c r="G29" i="5"/>
  <c r="G30" i="5"/>
  <c r="G32" i="5"/>
  <c r="G33" i="5"/>
  <c r="F17" i="5"/>
  <c r="F24" i="5"/>
  <c r="F29" i="5"/>
  <c r="F31" i="5"/>
  <c r="E4" i="5"/>
  <c r="E5" i="5"/>
  <c r="E6" i="5"/>
  <c r="E7" i="5"/>
  <c r="E8" i="5"/>
  <c r="E9" i="5"/>
  <c r="E10" i="5"/>
  <c r="G10" i="5" s="1"/>
  <c r="E11" i="5"/>
  <c r="E12" i="5"/>
  <c r="E13" i="5"/>
  <c r="E14" i="5"/>
  <c r="G14" i="5" s="1"/>
  <c r="E15" i="5"/>
  <c r="F15" i="5" s="1"/>
  <c r="E16" i="5"/>
  <c r="F16" i="5" s="1"/>
  <c r="E17" i="5"/>
  <c r="G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G24" i="5" s="1"/>
  <c r="E25" i="5"/>
  <c r="F25" i="5" s="1"/>
  <c r="E26" i="5"/>
  <c r="F26" i="5" s="1"/>
  <c r="E27" i="5"/>
  <c r="F27" i="5" s="1"/>
  <c r="E28" i="5"/>
  <c r="F28" i="5" s="1"/>
  <c r="E29" i="5"/>
  <c r="E30" i="5"/>
  <c r="F30" i="5" s="1"/>
  <c r="E31" i="5"/>
  <c r="G31" i="5" s="1"/>
  <c r="E32" i="5"/>
  <c r="F32" i="5" s="1"/>
  <c r="E33" i="5"/>
  <c r="F33" i="5" s="1"/>
  <c r="E3" i="5"/>
  <c r="G3" i="5" s="1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6" i="4"/>
  <c r="Q7" i="4"/>
  <c r="Q5" i="4"/>
  <c r="C6" i="4"/>
  <c r="G6" i="4" s="1"/>
  <c r="C7" i="4"/>
  <c r="G7" i="4" s="1"/>
  <c r="C8" i="4"/>
  <c r="G8" i="4" s="1"/>
  <c r="C9" i="4"/>
  <c r="G9" i="4" s="1"/>
  <c r="C10" i="4"/>
  <c r="G10" i="4" s="1"/>
  <c r="C11" i="4"/>
  <c r="G11" i="4" s="1"/>
  <c r="C12" i="4"/>
  <c r="G12" i="4" s="1"/>
  <c r="C13" i="4"/>
  <c r="G13" i="4" s="1"/>
  <c r="C14" i="4"/>
  <c r="G14" i="4" s="1"/>
  <c r="C15" i="4"/>
  <c r="G15" i="4" s="1"/>
  <c r="C16" i="4"/>
  <c r="G16" i="4" s="1"/>
  <c r="C17" i="4"/>
  <c r="G17" i="4" s="1"/>
  <c r="C18" i="4"/>
  <c r="G18" i="4" s="1"/>
  <c r="C19" i="4"/>
  <c r="G19" i="4" s="1"/>
  <c r="C20" i="4"/>
  <c r="G20" i="4" s="1"/>
  <c r="C21" i="4"/>
  <c r="G21" i="4" s="1"/>
  <c r="C22" i="4"/>
  <c r="G22" i="4" s="1"/>
  <c r="C23" i="4"/>
  <c r="G23" i="4" s="1"/>
  <c r="C24" i="4"/>
  <c r="G24" i="4" s="1"/>
  <c r="C25" i="4"/>
  <c r="G25" i="4" s="1"/>
  <c r="C26" i="4"/>
  <c r="G26" i="4" s="1"/>
  <c r="C27" i="4"/>
  <c r="G27" i="4" s="1"/>
  <c r="C28" i="4"/>
  <c r="G28" i="4" s="1"/>
  <c r="C29" i="4"/>
  <c r="G29" i="4" s="1"/>
  <c r="C30" i="4"/>
  <c r="G30" i="4" s="1"/>
  <c r="C31" i="4"/>
  <c r="G31" i="4" s="1"/>
  <c r="C32" i="4"/>
  <c r="G32" i="4" s="1"/>
  <c r="C33" i="4"/>
  <c r="G33" i="4" s="1"/>
  <c r="C34" i="4"/>
  <c r="G34" i="4" s="1"/>
  <c r="C35" i="4"/>
  <c r="G35" i="4" s="1"/>
  <c r="C5" i="4"/>
  <c r="G5" i="4" s="1"/>
  <c r="E34" i="5" l="1"/>
  <c r="F34" i="5"/>
</calcChain>
</file>

<file path=xl/sharedStrings.xml><?xml version="1.0" encoding="utf-8"?>
<sst xmlns="http://schemas.openxmlformats.org/spreadsheetml/2006/main" count="1231" uniqueCount="293">
  <si>
    <t>Matricule</t>
  </si>
  <si>
    <t>DatePointage</t>
  </si>
  <si>
    <t>IDPointage</t>
  </si>
  <si>
    <t>IDPose</t>
  </si>
  <si>
    <t xml:space="preserve"> 86567</t>
  </si>
  <si>
    <t>03</t>
  </si>
  <si>
    <t>98</t>
  </si>
  <si>
    <t>N</t>
  </si>
  <si>
    <t>11</t>
  </si>
  <si>
    <t>129091</t>
  </si>
  <si>
    <t>12</t>
  </si>
  <si>
    <t>121678</t>
  </si>
  <si>
    <t>99</t>
  </si>
  <si>
    <t>3</t>
  </si>
  <si>
    <t>2</t>
  </si>
  <si>
    <t>1</t>
  </si>
  <si>
    <t>126547</t>
  </si>
  <si>
    <t>123939</t>
  </si>
  <si>
    <t>8</t>
  </si>
  <si>
    <t>7</t>
  </si>
  <si>
    <t>6</t>
  </si>
  <si>
    <t>129152</t>
  </si>
  <si>
    <t>JOuvrable</t>
  </si>
  <si>
    <t>JReposPaye</t>
  </si>
  <si>
    <t>JCongeCirconstance</t>
  </si>
  <si>
    <t>JMaladie</t>
  </si>
  <si>
    <t>JHospitalisation</t>
  </si>
  <si>
    <t>JCongeMaternite</t>
  </si>
  <si>
    <t>JCongeAutorise</t>
  </si>
  <si>
    <t>JDimanche</t>
  </si>
  <si>
    <t>JFeriePreste</t>
  </si>
  <si>
    <t>JFerieNonPreste</t>
  </si>
  <si>
    <t>ComplementJFDim</t>
  </si>
  <si>
    <t>ComplementPose2</t>
  </si>
  <si>
    <t>ComplementPose3</t>
  </si>
  <si>
    <t>ComplementPose18_6</t>
  </si>
  <si>
    <t>ComplementDimJFPose2</t>
  </si>
  <si>
    <t>ComplementDimJFPose3</t>
  </si>
  <si>
    <t>ComplementDimJFPose18_6</t>
  </si>
  <si>
    <t>JSansPointage</t>
  </si>
  <si>
    <t>JAbsAutorise</t>
  </si>
  <si>
    <t>JAbsNonAutorise</t>
  </si>
  <si>
    <t>JMiseApied</t>
  </si>
  <si>
    <t>CODE DES POINTAGES</t>
  </si>
  <si>
    <t>CODE</t>
  </si>
  <si>
    <t>01</t>
  </si>
  <si>
    <t>02</t>
  </si>
  <si>
    <t>04</t>
  </si>
  <si>
    <t>05</t>
  </si>
  <si>
    <t>06</t>
  </si>
  <si>
    <t>07</t>
  </si>
  <si>
    <t>08</t>
  </si>
  <si>
    <t>09</t>
  </si>
  <si>
    <t>10</t>
  </si>
  <si>
    <t>13</t>
  </si>
  <si>
    <t>14</t>
  </si>
  <si>
    <t>15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</si>
  <si>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</si>
  <si>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</si>
  <si>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</si>
  <si>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</si>
  <si>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</si>
  <si>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</si>
  <si>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</si>
  <si>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</si>
  <si>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</si>
  <si>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</si>
  <si>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</si>
  <si>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</si>
  <si>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</si>
  <si>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</si>
  <si>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</si>
  <si>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</si>
  <si>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</si>
  <si>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</si>
  <si>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</si>
  <si>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</si>
  <si>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</si>
  <si>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</si>
  <si>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</si>
  <si>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</si>
  <si>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</si>
  <si>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</si>
  <si>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</si>
  <si>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</si>
  <si>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</si>
  <si>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</si>
  <si>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</si>
  <si>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</si>
  <si>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</si>
  <si>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</si>
  <si>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</si>
  <si>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</si>
  <si>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</si>
  <si>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</si>
  <si>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</si>
  <si>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</si>
  <si>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</si>
  <si>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</si>
  <si>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</si>
  <si>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</si>
  <si>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</si>
  <si>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</si>
  <si>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</si>
  <si>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</si>
  <si>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</si>
  <si>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</si>
  <si>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</si>
  <si>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</si>
  <si>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</si>
  <si>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</si>
  <si>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</si>
  <si>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</si>
  <si>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</si>
  <si>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</si>
  <si>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</si>
  <si>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</si>
  <si>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</si>
  <si>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</si>
  <si>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</si>
  <si>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</si>
  <si>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</si>
  <si>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</si>
  <si>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</si>
  <si>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</si>
  <si>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</si>
  <si>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</si>
  <si>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</si>
  <si>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</si>
  <si>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</si>
  <si>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</si>
  <si>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</si>
  <si>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</si>
  <si>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</si>
  <si>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</si>
  <si>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LIBELLE</t>
  </si>
  <si>
    <t xml:space="preserve">ABSENCE AUTORISEE NON A PAYER           </t>
  </si>
  <si>
    <t xml:space="preserve">ABSENCE NON AUTORISEE                   </t>
  </si>
  <si>
    <t xml:space="preserve">SANS POINTAGE                           </t>
  </si>
  <si>
    <t xml:space="preserve">CARTE RETENUE                           </t>
  </si>
  <si>
    <t xml:space="preserve">CONGE DE CIRCONSTANCE                   </t>
  </si>
  <si>
    <t xml:space="preserve">SUSPENSION/CONVOCATION                  </t>
  </si>
  <si>
    <t xml:space="preserve">ACCID. TRAV./INCAPACITE CADRE           </t>
  </si>
  <si>
    <t xml:space="preserve">MALADIE/REPOS MEDICAL/MATERNITE   </t>
  </si>
  <si>
    <t xml:space="preserve">SANCTION                                </t>
  </si>
  <si>
    <t xml:space="preserve">SUSPENSION CONTRAT                      </t>
  </si>
  <si>
    <t xml:space="preserve">JOURNEE FERIEE NON PRESTEE              </t>
  </si>
  <si>
    <t xml:space="preserve">REPOS PAYE                              </t>
  </si>
  <si>
    <t xml:space="preserve">GARDE A DOMICILE                        </t>
  </si>
  <si>
    <t xml:space="preserve">POINTAGE EXCEPTIONNELLE                 </t>
  </si>
  <si>
    <t xml:space="preserve">CESSATION DE TRAVAIL                    </t>
  </si>
  <si>
    <t xml:space="preserve">COUPE FABRICATION                       </t>
  </si>
  <si>
    <t xml:space="preserve">COUPE-FEU RECOLTE                       </t>
  </si>
  <si>
    <t xml:space="preserve">COUPE DEGAGEMENT                        </t>
  </si>
  <si>
    <t xml:space="preserve">COUPE-FEU EXTERIEUR                     </t>
  </si>
  <si>
    <t xml:space="preserve">GLANAGE MACHINE                         </t>
  </si>
  <si>
    <t xml:space="preserve">GLANAGE SUR CHAMPS                      </t>
  </si>
  <si>
    <t xml:space="preserve">GLANAGE ROUTE-RAIL                      </t>
  </si>
  <si>
    <t xml:space="preserve">CHARGEMENT ROUTE-RAIL                   </t>
  </si>
  <si>
    <t xml:space="preserve">CHARG. MANUEL + EVACUATION              </t>
  </si>
  <si>
    <t xml:space="preserve">PREPARATION CARREAUX                    </t>
  </si>
  <si>
    <t xml:space="preserve">ECHANTILLONNAGE                         </t>
  </si>
  <si>
    <t xml:space="preserve">AIDES WATER-TANK                        </t>
  </si>
  <si>
    <t xml:space="preserve">CHAUFFEUR TRACTEUR RENTREE CANNES       </t>
  </si>
  <si>
    <t xml:space="preserve">CHAUFFEUR CAMION                        </t>
  </si>
  <si>
    <t xml:space="preserve">CHAUFFEUR VEHICULE LEGER                </t>
  </si>
  <si>
    <t xml:space="preserve">CHAUFFEUR GENIE CIVIL                   </t>
  </si>
  <si>
    <t xml:space="preserve">CHAUFFEUR CHENILLARD + CAMECO 505       </t>
  </si>
  <si>
    <t xml:space="preserve">CHAUFFEUR DIVERS                        </t>
  </si>
  <si>
    <t xml:space="preserve">CHAUFFEUR CHOMEUR                       </t>
  </si>
  <si>
    <t xml:space="preserve">TRANSBORDEUR                            </t>
  </si>
  <si>
    <t xml:space="preserve">AIDE TRANSBORDEUR                       </t>
  </si>
  <si>
    <t xml:space="preserve">MACHINISTES                             </t>
  </si>
  <si>
    <t xml:space="preserve">BOIS LOCOS                              </t>
  </si>
  <si>
    <t xml:space="preserve">DERAILLEMENT + SOUDEURS                 </t>
  </si>
  <si>
    <t>CHAUFFEUR TRACTEUR MECANISATION AGRICOLE</t>
  </si>
  <si>
    <t xml:space="preserve">GRAISSAGE + ENTRETIEN                   </t>
  </si>
  <si>
    <t xml:space="preserve">ENTRETIEN VOIES + AIDES MACHINISTES     </t>
  </si>
  <si>
    <t xml:space="preserve">PESEURS + BASCULEURS + CALEURS         </t>
  </si>
  <si>
    <t xml:space="preserve">MAGASINIERS                  </t>
  </si>
  <si>
    <t xml:space="preserve">BOURRAGE CADRE                          </t>
  </si>
  <si>
    <t xml:space="preserve">SARCLAGE + EXTIRPATION                  </t>
  </si>
  <si>
    <t xml:space="preserve">MANUTENTION + EPANDAGE                  </t>
  </si>
  <si>
    <t xml:space="preserve">HERBICIDAGE MECANIQUE                   </t>
  </si>
  <si>
    <t xml:space="preserve">HERBICIDAGE SEMI-MECANIQUE              </t>
  </si>
  <si>
    <t xml:space="preserve">EPURATION PHYTOS.(ROGUEING)             </t>
  </si>
  <si>
    <t xml:space="preserve">CENTRALISTES                            </t>
  </si>
  <si>
    <t xml:space="preserve">PHONISTES &amp; SURV. CHANTIERS             </t>
  </si>
  <si>
    <t xml:space="preserve">CHAUFFEUR TRACTEUR POUSSOIR            </t>
  </si>
  <si>
    <t xml:space="preserve">COUPE FEMMES                            </t>
  </si>
  <si>
    <t xml:space="preserve">PESEE DES ESSAIS                        </t>
  </si>
  <si>
    <t xml:space="preserve">COUPE BOUTURE                           </t>
  </si>
  <si>
    <t xml:space="preserve">CHARGEMENT BOUTURES                     </t>
  </si>
  <si>
    <t xml:space="preserve">DECHARGEMENT BOUTURES                   </t>
  </si>
  <si>
    <t xml:space="preserve">PLANTATION                              </t>
  </si>
  <si>
    <t xml:space="preserve">RECOUVREMENT                            </t>
  </si>
  <si>
    <t xml:space="preserve">REMPLACEMENT MANQUANT                   </t>
  </si>
  <si>
    <t xml:space="preserve">FOURRIERE                               </t>
  </si>
  <si>
    <t xml:space="preserve">PROSPECTION PEDOLOGIQUE                 </t>
  </si>
  <si>
    <t xml:space="preserve">ANALYSE LABO/CTR MATURITE/ELONGATIONS   </t>
  </si>
  <si>
    <t xml:space="preserve">THERMOTHERAPIE                          </t>
  </si>
  <si>
    <t xml:space="preserve">CHAUFFEUR PELLE CHARGEUSE          </t>
  </si>
  <si>
    <t xml:space="preserve">IRRIGATION                              </t>
  </si>
  <si>
    <t xml:space="preserve">CHAUFFEUR DE RESERVE       </t>
  </si>
  <si>
    <t xml:space="preserve">CHAUFFEUR ENGIN EN PANNE             </t>
  </si>
  <si>
    <t xml:space="preserve">ENTR. + REPARATION MATERIEL             </t>
  </si>
  <si>
    <t xml:space="preserve">CHAUFFEUR TRACTEUR DIVERS               </t>
  </si>
  <si>
    <t xml:space="preserve">MANUTENTION VINASSES                    </t>
  </si>
  <si>
    <t>CHAUFFEUR TRACTEUR RAMASSAGE CANNES</t>
  </si>
  <si>
    <t xml:space="preserve">DECOUV. MAN. + NETTOY. VOIES            </t>
  </si>
  <si>
    <t xml:space="preserve">CHAUFFEUR TRACTEUR PIQUETS        </t>
  </si>
  <si>
    <t xml:space="preserve">CONSTRUCTION                            </t>
  </si>
  <si>
    <t xml:space="preserve">TRAVAUX DIVERS AGRONOMIE                </t>
  </si>
  <si>
    <t xml:space="preserve">AIDES TOPO (INFRASTRUCT.)               </t>
  </si>
  <si>
    <t xml:space="preserve">CHAUFFEUR CHARGEUSE               </t>
  </si>
  <si>
    <t xml:space="preserve">CURAGE DRAINS                           </t>
  </si>
  <si>
    <t xml:space="preserve">CHAUFFEUR CHARGEUSE PIQUETS           </t>
  </si>
  <si>
    <t xml:space="preserve">ENGRAIS VERT - MUCUNA                   </t>
  </si>
  <si>
    <t xml:space="preserve">ESSAIS                                  </t>
  </si>
  <si>
    <t xml:space="preserve">OBSERVATIONS PHYTOSANITAIRES            </t>
  </si>
  <si>
    <t xml:space="preserve">BOISEMENT                               </t>
  </si>
  <si>
    <t xml:space="preserve">INFIRMIER + SANITAIRE                   </t>
  </si>
  <si>
    <t xml:space="preserve">CHEF DE CAMP + GERANT                   </t>
  </si>
  <si>
    <t xml:space="preserve">CHEF DE POSTE                           </t>
  </si>
  <si>
    <t xml:space="preserve">ENCADREMENT BLOC                        </t>
  </si>
  <si>
    <t xml:space="preserve">CHEF D'EQUIPES + CAPITAS                </t>
  </si>
  <si>
    <t xml:space="preserve">CHAUFFEUR GRUE RENTREE CANNES          </t>
  </si>
  <si>
    <t xml:space="preserve">SENTINELLES                             </t>
  </si>
  <si>
    <t xml:space="preserve">GARDES INCENDIES (SURVEILLANT)          </t>
  </si>
  <si>
    <t xml:space="preserve">ADMINISTRATION                          </t>
  </si>
  <si>
    <t xml:space="preserve">AUTRES TRAVAUX EXTERIEURS               </t>
  </si>
  <si>
    <t>TACHE</t>
  </si>
  <si>
    <t>PRESENCE</t>
  </si>
  <si>
    <t>EQUIPE JOUR</t>
  </si>
  <si>
    <t>POSE 1 DE 8 H (6 - 14 OU 7-15)</t>
  </si>
  <si>
    <t>POSE 2 DE 8 H (14--22 OU 15-23</t>
  </si>
  <si>
    <t>POSE 3 DE 8 H (22-6 OU 23-7)</t>
  </si>
  <si>
    <t>POSE 1 DE 12H ( 6-18)</t>
  </si>
  <si>
    <t>CHANGEMENT DE POSE 6-18 / 18-6</t>
  </si>
  <si>
    <t>POSE 2 DE 12H (18-6)</t>
  </si>
  <si>
    <t>NON POSE</t>
  </si>
  <si>
    <t>POINTAGES BRUT</t>
  </si>
  <si>
    <t>POINTAGES CONVERTITS EN JOURS</t>
  </si>
  <si>
    <t>NbreHS35</t>
  </si>
  <si>
    <t>NbreHS37_5</t>
  </si>
  <si>
    <t>NbreHS100</t>
  </si>
  <si>
    <t>NbreHS130</t>
  </si>
  <si>
    <t>NbreHS160</t>
  </si>
  <si>
    <t>NbreHS200</t>
  </si>
  <si>
    <t>Jour</t>
  </si>
  <si>
    <t>Date</t>
  </si>
  <si>
    <t>Pose</t>
  </si>
  <si>
    <t>Debut</t>
  </si>
  <si>
    <t>Durée</t>
  </si>
  <si>
    <t>18 - 6</t>
  </si>
  <si>
    <t>6 - 18</t>
  </si>
  <si>
    <t>12 - 6</t>
  </si>
  <si>
    <t>_200</t>
  </si>
  <si>
    <t>HS</t>
  </si>
  <si>
    <t>prestation</t>
  </si>
  <si>
    <t>semaine 1</t>
  </si>
  <si>
    <t>semaine 2</t>
  </si>
  <si>
    <t>semaine 3</t>
  </si>
  <si>
    <t>semaine 4</t>
  </si>
  <si>
    <t>Forme du résulat attendu</t>
  </si>
  <si>
    <t>Legende</t>
  </si>
  <si>
    <t>Prestation de 6 heure à 18 heure, soit 12 heures du temps</t>
  </si>
  <si>
    <t>Prestation de 18 heure à 6 heure, soit 12 heures du temps</t>
  </si>
  <si>
    <t>Pas de prestation</t>
  </si>
  <si>
    <t>Description</t>
  </si>
  <si>
    <t>Prestation de 12 heure à 6 heure, si le jour précédant l'employé est monté à 6 heure. Prestation de 18 heure à 12 heure, si le jour précédent l'employé est monté à 18 heure.</t>
  </si>
  <si>
    <t>Sachant que les HS de dimanche et jour férié ( 01/08/2024) sont majoré à 200%</t>
  </si>
  <si>
    <t>Objectif : aider moi gérer ces heures supplémentaires sur MS Excel</t>
  </si>
  <si>
    <t>durée</t>
  </si>
  <si>
    <t>66 sur 45</t>
  </si>
  <si>
    <t>70 sur 37</t>
  </si>
  <si>
    <t>semaine 5</t>
  </si>
  <si>
    <t>18 sur 8</t>
  </si>
  <si>
    <t>Dimanche et Férié</t>
  </si>
  <si>
    <t>La semaine commence par lundi et se termine par samedi. les dimanches et fériés exclus.</t>
  </si>
  <si>
    <t>Une heures a 8 heures sauf le samedi qui en a 5 heures</t>
  </si>
  <si>
    <t>66 sur 45 signifie 66 heures prestées / semaine sur 45 heures de prestation hebdomadaires fixés par le code du travail congolais par rapport aux nombre des h=jours prestés</t>
  </si>
  <si>
    <t>Heures Prestées</t>
  </si>
  <si>
    <t>Observation</t>
  </si>
  <si>
    <t>Pas de présence physique</t>
  </si>
  <si>
    <t>Présence physique</t>
  </si>
  <si>
    <t>POINTAGE</t>
  </si>
  <si>
    <t>POSE</t>
  </si>
  <si>
    <t>HS Jr non ouvré</t>
  </si>
  <si>
    <t>HS Jr  ouvré</t>
  </si>
  <si>
    <t>Noel</t>
  </si>
  <si>
    <t>Durée prestation</t>
  </si>
  <si>
    <t>Férié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</si>
</sst>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"/>
  </numFmts>
  <fonts count="7" x14ac:knownFonts="1">
    <font>
      <sz val="10"/>
      <name val="Arial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 Narrow"/>
      <family val="2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3">
    <xf numFmtId="0" fontId="0" fillId="0" borderId="0" xfId="0"/>
    <xf numFmtId="0" fontId="0" fillId="0" borderId="1" xfId="0" applyNumberFormat="1" applyFont="1" applyFill="1" applyBorder="1" applyAlignment="1" applyProtection="1">
      <alignment horizontal="left" vertical="center" wrapText="1"/>
    </xf>
    <xf numFmtId="14" fontId="0" fillId="0" borderId="1" xfId="0" applyNumberFormat="1" applyFont="1" applyFill="1" applyBorder="1" applyAlignment="1" applyProtection="1">
      <alignment horizontal="right" vertical="center" wrapText="1"/>
    </xf>
    <xf numFmtId="0" fontId="1" fillId="2" borderId="1" xfId="0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164" fontId="0" fillId="2" borderId="1" xfId="0" applyNumberFormat="1" applyFont="1" applyFill="1" applyBorder="1" applyAlignment="1" applyProtection="1">
      <alignment horizontal="right" vertical="center" wrapText="1"/>
    </xf>
    <xf numFmtId="164" fontId="0" fillId="3" borderId="1" xfId="0" applyNumberFormat="1" applyFont="1" applyFill="1" applyBorder="1" applyAlignment="1" applyProtection="1">
      <alignment horizontal="right" vertical="center" wrapText="1"/>
    </xf>
    <xf numFmtId="0" fontId="1" fillId="0" borderId="0" xfId="0" applyFont="1" applyAlignment="1">
      <alignment horizontal="centerContinuous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Continuous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0" fillId="0" borderId="1" xfId="0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centerContinuous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Font="1" applyBorder="1" applyAlignment="1">
      <alignment horizontal="right" vertical="center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0" fontId="0" fillId="2" borderId="0" xfId="0" applyFill="1"/>
    <xf numFmtId="49" fontId="0" fillId="0" borderId="0" xfId="0" applyNumberFormat="1"/>
    <xf numFmtId="49" fontId="0" fillId="0" borderId="1" xfId="0" applyNumberFormat="1" applyBorder="1"/>
    <xf numFmtId="0" fontId="0" fillId="3" borderId="1" xfId="0" applyNumberFormat="1" applyFont="1" applyFill="1" applyBorder="1" applyAlignment="1" applyProtection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/>
    <xf numFmtId="9" fontId="0" fillId="0" borderId="1" xfId="0" applyNumberFormat="1" applyBorder="1"/>
    <xf numFmtId="0" fontId="0" fillId="0" borderId="1" xfId="0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49" fontId="0" fillId="0" borderId="1" xfId="0" applyNumberFormat="1" applyFont="1" applyFill="1" applyBorder="1" applyAlignment="1" applyProtection="1">
      <alignment horizontal="left" vertical="center"/>
    </xf>
    <xf numFmtId="0" fontId="0" fillId="3" borderId="2" xfId="0" applyNumberFormat="1" applyFont="1" applyFill="1" applyBorder="1" applyAlignment="1" applyProtection="1">
      <alignment horizontal="left" vertical="center" wrapText="1"/>
    </xf>
    <xf numFmtId="14" fontId="0" fillId="0" borderId="2" xfId="0" applyNumberFormat="1" applyFont="1" applyFill="1" applyBorder="1" applyAlignment="1" applyProtection="1">
      <alignment horizontal="right" vertical="center" wrapText="1"/>
    </xf>
    <xf numFmtId="49" fontId="0" fillId="0" borderId="2" xfId="0" applyNumberFormat="1" applyFont="1" applyFill="1" applyBorder="1" applyAlignment="1" applyProtection="1">
      <alignment horizontal="left" vertical="center"/>
    </xf>
    <xf numFmtId="0" fontId="1" fillId="0" borderId="1" xfId="0" applyFont="1" applyBorder="1"/>
    <xf numFmtId="0" fontId="5" fillId="0" borderId="1" xfId="0" applyFont="1" applyBorder="1"/>
    <xf numFmtId="0" fontId="5" fillId="0" borderId="1" xfId="0" applyNumberFormat="1" applyFont="1" applyFill="1" applyBorder="1" applyAlignment="1" applyProtection="1">
      <alignment horizontal="left" vertical="center" wrapText="1"/>
    </xf>
    <xf numFmtId="49" fontId="3" fillId="0" borderId="1" xfId="0" applyNumberFormat="1" applyFont="1" applyFill="1" applyBorder="1" applyAlignment="1" applyProtection="1">
      <alignment horizontal="left" vertical="center"/>
    </xf>
    <xf numFmtId="0" fontId="5" fillId="4" borderId="1" xfId="0" applyFont="1" applyFill="1" applyBorder="1"/>
    <xf numFmtId="0" fontId="0" fillId="0" borderId="3" xfId="0" applyBorder="1"/>
    <xf numFmtId="0" fontId="0" fillId="0" borderId="4" xfId="0" applyBorder="1"/>
    <xf numFmtId="14" fontId="0" fillId="0" borderId="5" xfId="0" applyNumberFormat="1" applyFont="1" applyFill="1" applyBorder="1" applyAlignment="1" applyProtection="1">
      <alignment horizontal="right" vertical="center" wrapText="1"/>
    </xf>
    <xf numFmtId="14" fontId="0" fillId="0" borderId="0" xfId="0" applyNumberFormat="1"/>
    <xf numFmtId="14" fontId="3" fillId="0" borderId="5" xfId="0" applyNumberFormat="1" applyFont="1" applyFill="1" applyBorder="1" applyAlignment="1" applyProtection="1">
      <alignment horizontal="right" vertical="center" wrapText="1"/>
    </xf>
    <xf numFmtId="0" fontId="3" fillId="3" borderId="6" xfId="0" applyNumberFormat="1" applyFont="1" applyFill="1" applyBorder="1" applyAlignment="1" applyProtection="1">
      <alignment horizontal="left" vertical="center" wrapText="1"/>
    </xf>
    <xf numFmtId="0" fontId="5" fillId="4" borderId="1" xfId="0" applyFont="1" applyFill="1" applyBorder="1" applyAlignment="1">
      <alignment wrapText="1"/>
    </xf>
    <xf numFmtId="0" fontId="6" fillId="3" borderId="6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6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solid">
          <fgColor indexed="64"/>
          <bgColor rgb="FFFFC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45EDF-6FD5-4996-A655-EE0F60A9CF58}" name="Tableau_Pose_Cskn" displayName="Tableau_Pose_Cskn" ref="M2:N4" totalsRowShown="0" headerRowDxfId="0" headerRowBorderDxfId="4" tableBorderDxfId="5" totalsRowBorderDxfId="3">
  <autoFilter ref="M2:N4" xr:uid="{38945EDF-6FD5-4996-A655-EE0F60A9CF58}">
    <filterColumn colId="0" hiddenButton="1"/>
    <filterColumn colId="1" hiddenButton="1"/>
  </autoFilter>
  <tableColumns count="2">
    <tableColumn id="1" xr3:uid="{FA25F88B-AD6F-4A5D-8F20-994C35E94325}" name="Date" dataDxfId="2"/>
    <tableColumn id="2" xr3:uid="{BF59DA52-CD1D-4A0A-887A-22E32213672D}" name="Jou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8"/>
  <sheetViews>
    <sheetView workbookViewId="0">
      <selection activeCell="A158" sqref="A158:D188"/>
    </sheetView>
  </sheetViews>
  <sheetFormatPr baseColWidth="10" defaultRowHeight="12.5" x14ac:dyDescent="0.25"/>
  <cols>
    <col min="1" max="1" width="8.7265625" bestFit="1" customWidth="1"/>
    <col min="2" max="2" width="12.26953125" bestFit="1" customWidth="1"/>
    <col min="3" max="3" width="10.08984375" bestFit="1" customWidth="1"/>
    <col min="4" max="4" width="6.81640625" bestFit="1" customWidth="1"/>
    <col min="7" max="7" width="25.36328125" bestFit="1" customWidth="1"/>
  </cols>
  <sheetData>
    <row r="1" spans="1:13" ht="13" x14ac:dyDescent="0.3">
      <c r="A1" s="7" t="s">
        <v>241</v>
      </c>
      <c r="B1" s="7"/>
      <c r="C1" s="7"/>
      <c r="D1" s="7"/>
      <c r="G1" s="7" t="s">
        <v>242</v>
      </c>
      <c r="H1" s="7"/>
      <c r="I1" s="7"/>
      <c r="J1" s="7"/>
      <c r="K1" s="7"/>
      <c r="L1" s="7"/>
      <c r="M1" s="7"/>
    </row>
    <row r="2" spans="1:13" ht="13" x14ac:dyDescent="0.25">
      <c r="A2" s="16" t="s">
        <v>0</v>
      </c>
      <c r="B2" s="16" t="s">
        <v>1</v>
      </c>
      <c r="C2" s="16" t="s">
        <v>2</v>
      </c>
      <c r="D2" s="16" t="s">
        <v>3</v>
      </c>
      <c r="G2" s="3" t="s">
        <v>0</v>
      </c>
      <c r="H2" s="4" t="s">
        <v>4</v>
      </c>
      <c r="I2" s="4" t="s">
        <v>9</v>
      </c>
      <c r="J2" s="4" t="s">
        <v>11</v>
      </c>
      <c r="K2" s="4" t="s">
        <v>16</v>
      </c>
      <c r="L2" s="4" t="s">
        <v>17</v>
      </c>
      <c r="M2" s="4" t="s">
        <v>21</v>
      </c>
    </row>
    <row r="3" spans="1:13" ht="13" x14ac:dyDescent="0.25">
      <c r="A3" s="1" t="s">
        <v>4</v>
      </c>
      <c r="B3" s="2">
        <v>45494</v>
      </c>
      <c r="C3" s="1" t="s">
        <v>5</v>
      </c>
      <c r="D3" s="1"/>
      <c r="G3" s="3" t="s">
        <v>22</v>
      </c>
      <c r="H3" s="5">
        <v>25</v>
      </c>
      <c r="I3" s="6">
        <v>24</v>
      </c>
      <c r="J3" s="5">
        <v>21</v>
      </c>
      <c r="K3" s="5">
        <v>20</v>
      </c>
      <c r="L3" s="5">
        <v>21</v>
      </c>
      <c r="M3" s="5">
        <v>24</v>
      </c>
    </row>
    <row r="4" spans="1:13" ht="13" x14ac:dyDescent="0.25">
      <c r="A4" s="1" t="s">
        <v>4</v>
      </c>
      <c r="B4" s="2">
        <v>45495</v>
      </c>
      <c r="C4" s="1" t="s">
        <v>6</v>
      </c>
      <c r="D4" s="1"/>
      <c r="G4" s="3" t="s">
        <v>23</v>
      </c>
      <c r="H4" s="5">
        <v>0</v>
      </c>
      <c r="I4" s="6">
        <v>1</v>
      </c>
      <c r="J4" s="5">
        <v>4</v>
      </c>
      <c r="K4" s="5">
        <v>5</v>
      </c>
      <c r="L4" s="5">
        <v>4</v>
      </c>
      <c r="M4" s="5">
        <v>1</v>
      </c>
    </row>
    <row r="5" spans="1:13" ht="13" x14ac:dyDescent="0.25">
      <c r="A5" s="1" t="s">
        <v>4</v>
      </c>
      <c r="B5" s="2">
        <v>45496</v>
      </c>
      <c r="C5" s="1" t="s">
        <v>6</v>
      </c>
      <c r="D5" s="1"/>
      <c r="G5" s="3" t="s">
        <v>24</v>
      </c>
      <c r="H5" s="5">
        <v>0</v>
      </c>
      <c r="I5" s="6">
        <v>0</v>
      </c>
      <c r="J5" s="5">
        <v>0</v>
      </c>
      <c r="K5" s="5">
        <v>0</v>
      </c>
      <c r="L5" s="5">
        <v>0</v>
      </c>
      <c r="M5" s="5">
        <v>0</v>
      </c>
    </row>
    <row r="6" spans="1:13" ht="13" x14ac:dyDescent="0.25">
      <c r="A6" s="1" t="s">
        <v>4</v>
      </c>
      <c r="B6" s="2">
        <v>45497</v>
      </c>
      <c r="C6" s="1" t="s">
        <v>6</v>
      </c>
      <c r="D6" s="1"/>
      <c r="G6" s="3" t="s">
        <v>25</v>
      </c>
      <c r="H6" s="5">
        <v>0</v>
      </c>
      <c r="I6" s="6">
        <v>0</v>
      </c>
      <c r="J6" s="5">
        <v>0</v>
      </c>
      <c r="K6" s="5">
        <v>0</v>
      </c>
      <c r="L6" s="5">
        <v>0</v>
      </c>
      <c r="M6" s="5">
        <v>0</v>
      </c>
    </row>
    <row r="7" spans="1:13" ht="13" x14ac:dyDescent="0.25">
      <c r="A7" s="1" t="s">
        <v>4</v>
      </c>
      <c r="B7" s="2">
        <v>45498</v>
      </c>
      <c r="C7" s="1" t="s">
        <v>6</v>
      </c>
      <c r="D7" s="1"/>
      <c r="G7" s="3" t="s">
        <v>26</v>
      </c>
      <c r="H7" s="5">
        <v>0</v>
      </c>
      <c r="I7" s="6">
        <v>0</v>
      </c>
      <c r="J7" s="5">
        <v>0</v>
      </c>
      <c r="K7" s="5">
        <v>0</v>
      </c>
      <c r="L7" s="5">
        <v>0</v>
      </c>
      <c r="M7" s="5">
        <v>0</v>
      </c>
    </row>
    <row r="8" spans="1:13" ht="13" x14ac:dyDescent="0.25">
      <c r="A8" s="1" t="s">
        <v>4</v>
      </c>
      <c r="B8" s="2">
        <v>45499</v>
      </c>
      <c r="C8" s="1" t="s">
        <v>6</v>
      </c>
      <c r="D8" s="1"/>
      <c r="G8" s="3" t="s">
        <v>27</v>
      </c>
      <c r="H8" s="5">
        <v>0</v>
      </c>
      <c r="I8" s="6">
        <v>0</v>
      </c>
      <c r="J8" s="5">
        <v>0</v>
      </c>
      <c r="K8" s="5">
        <v>0</v>
      </c>
      <c r="L8" s="5">
        <v>0</v>
      </c>
      <c r="M8" s="5">
        <v>0</v>
      </c>
    </row>
    <row r="9" spans="1:13" ht="13" x14ac:dyDescent="0.25">
      <c r="A9" s="1" t="s">
        <v>4</v>
      </c>
      <c r="B9" s="2">
        <v>45500</v>
      </c>
      <c r="C9" s="1" t="s">
        <v>6</v>
      </c>
      <c r="D9" s="1"/>
      <c r="G9" s="3" t="s">
        <v>28</v>
      </c>
      <c r="H9" s="5">
        <v>0</v>
      </c>
      <c r="I9" s="6">
        <v>0</v>
      </c>
      <c r="J9" s="5">
        <v>0</v>
      </c>
      <c r="K9" s="5">
        <v>0</v>
      </c>
      <c r="L9" s="5">
        <v>0</v>
      </c>
      <c r="M9" s="5">
        <v>0</v>
      </c>
    </row>
    <row r="10" spans="1:13" ht="13" x14ac:dyDescent="0.25">
      <c r="A10" s="1" t="s">
        <v>4</v>
      </c>
      <c r="B10" s="2">
        <v>45501</v>
      </c>
      <c r="C10" s="1" t="s">
        <v>5</v>
      </c>
      <c r="D10" s="1"/>
      <c r="G10" s="3" t="s">
        <v>29</v>
      </c>
      <c r="H10" s="5">
        <v>0</v>
      </c>
      <c r="I10" s="6">
        <v>2</v>
      </c>
      <c r="J10" s="5">
        <v>5</v>
      </c>
      <c r="K10" s="5">
        <v>5</v>
      </c>
      <c r="L10" s="5">
        <v>5</v>
      </c>
      <c r="M10" s="5">
        <v>5</v>
      </c>
    </row>
    <row r="11" spans="1:13" ht="13" x14ac:dyDescent="0.25">
      <c r="A11" s="1" t="s">
        <v>4</v>
      </c>
      <c r="B11" s="2">
        <v>45502</v>
      </c>
      <c r="C11" s="1" t="s">
        <v>6</v>
      </c>
      <c r="D11" s="1"/>
      <c r="G11" s="3" t="s">
        <v>30</v>
      </c>
      <c r="H11" s="5">
        <v>0</v>
      </c>
      <c r="I11" s="6">
        <v>1</v>
      </c>
      <c r="J11" s="5">
        <v>1</v>
      </c>
      <c r="K11" s="5">
        <v>1</v>
      </c>
      <c r="L11" s="5">
        <v>1</v>
      </c>
      <c r="M11" s="5">
        <v>1</v>
      </c>
    </row>
    <row r="12" spans="1:13" ht="13" x14ac:dyDescent="0.25">
      <c r="A12" s="1" t="s">
        <v>4</v>
      </c>
      <c r="B12" s="2">
        <v>45503</v>
      </c>
      <c r="C12" s="1" t="s">
        <v>6</v>
      </c>
      <c r="D12" s="1"/>
      <c r="G12" s="3" t="s">
        <v>31</v>
      </c>
      <c r="H12" s="5">
        <v>1</v>
      </c>
      <c r="I12" s="6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13" x14ac:dyDescent="0.25">
      <c r="A13" s="1" t="s">
        <v>4</v>
      </c>
      <c r="B13" s="2">
        <v>45504</v>
      </c>
      <c r="C13" s="1" t="s">
        <v>6</v>
      </c>
      <c r="D13" s="1"/>
      <c r="G13" s="3" t="s">
        <v>32</v>
      </c>
      <c r="H13" s="5">
        <v>0</v>
      </c>
      <c r="I13" s="6">
        <v>0</v>
      </c>
      <c r="J13" s="5">
        <v>0</v>
      </c>
      <c r="K13" s="5">
        <v>0</v>
      </c>
      <c r="L13" s="5">
        <v>1</v>
      </c>
      <c r="M13" s="5">
        <v>3</v>
      </c>
    </row>
    <row r="14" spans="1:13" ht="13" x14ac:dyDescent="0.25">
      <c r="A14" s="1" t="s">
        <v>4</v>
      </c>
      <c r="B14" s="2">
        <v>45505</v>
      </c>
      <c r="C14" s="1" t="s">
        <v>8</v>
      </c>
      <c r="D14" s="1"/>
      <c r="G14" s="3" t="s">
        <v>33</v>
      </c>
      <c r="H14" s="5">
        <v>0</v>
      </c>
      <c r="I14" s="6">
        <v>0</v>
      </c>
      <c r="J14" s="5">
        <v>6</v>
      </c>
      <c r="K14" s="5">
        <v>6</v>
      </c>
      <c r="L14" s="5">
        <v>0</v>
      </c>
      <c r="M14" s="5">
        <v>0</v>
      </c>
    </row>
    <row r="15" spans="1:13" ht="13" x14ac:dyDescent="0.25">
      <c r="A15" s="1" t="s">
        <v>4</v>
      </c>
      <c r="B15" s="2">
        <v>45506</v>
      </c>
      <c r="C15" s="1" t="s">
        <v>6</v>
      </c>
      <c r="D15" s="1"/>
      <c r="G15" s="3" t="s">
        <v>34</v>
      </c>
      <c r="H15" s="5">
        <v>0</v>
      </c>
      <c r="I15" s="6">
        <v>0</v>
      </c>
      <c r="J15" s="5">
        <v>8</v>
      </c>
      <c r="K15" s="5">
        <v>8</v>
      </c>
      <c r="L15" s="5">
        <v>0</v>
      </c>
      <c r="M15" s="5">
        <v>0</v>
      </c>
    </row>
    <row r="16" spans="1:13" ht="13" x14ac:dyDescent="0.25">
      <c r="A16" s="1" t="s">
        <v>4</v>
      </c>
      <c r="B16" s="2">
        <v>45507</v>
      </c>
      <c r="C16" s="1" t="s">
        <v>6</v>
      </c>
      <c r="D16" s="1"/>
      <c r="G16" s="3" t="s">
        <v>35</v>
      </c>
      <c r="H16" s="5">
        <v>0</v>
      </c>
      <c r="I16" s="6">
        <v>0</v>
      </c>
      <c r="J16" s="5">
        <v>0</v>
      </c>
      <c r="K16" s="5">
        <v>0</v>
      </c>
      <c r="L16" s="5">
        <v>8</v>
      </c>
      <c r="M16" s="5">
        <v>11</v>
      </c>
    </row>
    <row r="17" spans="1:13" ht="13" x14ac:dyDescent="0.25">
      <c r="A17" s="1" t="s">
        <v>4</v>
      </c>
      <c r="B17" s="2">
        <v>45508</v>
      </c>
      <c r="C17" s="1" t="s">
        <v>5</v>
      </c>
      <c r="D17" s="1"/>
      <c r="G17" s="3" t="s">
        <v>36</v>
      </c>
      <c r="H17" s="5">
        <v>0</v>
      </c>
      <c r="I17" s="6">
        <v>0</v>
      </c>
      <c r="J17" s="5">
        <v>2</v>
      </c>
      <c r="K17" s="5">
        <v>2</v>
      </c>
      <c r="L17" s="5">
        <v>0</v>
      </c>
      <c r="M17" s="5">
        <v>0</v>
      </c>
    </row>
    <row r="18" spans="1:13" ht="13" x14ac:dyDescent="0.25">
      <c r="A18" s="1" t="s">
        <v>4</v>
      </c>
      <c r="B18" s="2">
        <v>45509</v>
      </c>
      <c r="C18" s="1" t="s">
        <v>6</v>
      </c>
      <c r="D18" s="1"/>
      <c r="G18" s="3" t="s">
        <v>37</v>
      </c>
      <c r="H18" s="5">
        <v>0</v>
      </c>
      <c r="I18" s="6">
        <v>0</v>
      </c>
      <c r="J18" s="5">
        <v>3</v>
      </c>
      <c r="K18" s="5">
        <v>3</v>
      </c>
      <c r="L18" s="5">
        <v>0</v>
      </c>
      <c r="M18" s="5">
        <v>0</v>
      </c>
    </row>
    <row r="19" spans="1:13" ht="13" x14ac:dyDescent="0.25">
      <c r="A19" s="1" t="s">
        <v>4</v>
      </c>
      <c r="B19" s="2">
        <v>45510</v>
      </c>
      <c r="C19" s="1" t="s">
        <v>6</v>
      </c>
      <c r="D19" s="1"/>
      <c r="G19" s="3" t="s">
        <v>38</v>
      </c>
      <c r="H19" s="5">
        <v>0</v>
      </c>
      <c r="I19" s="6">
        <v>0</v>
      </c>
      <c r="J19" s="5">
        <v>0</v>
      </c>
      <c r="K19" s="5">
        <v>0</v>
      </c>
      <c r="L19" s="5">
        <v>4</v>
      </c>
      <c r="M19" s="5">
        <v>2</v>
      </c>
    </row>
    <row r="20" spans="1:13" ht="13" x14ac:dyDescent="0.25">
      <c r="A20" s="1" t="s">
        <v>4</v>
      </c>
      <c r="B20" s="2">
        <v>45511</v>
      </c>
      <c r="C20" s="1" t="s">
        <v>6</v>
      </c>
      <c r="D20" s="1"/>
      <c r="G20" s="3" t="s">
        <v>39</v>
      </c>
      <c r="H20" s="5">
        <v>0</v>
      </c>
      <c r="I20" s="6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13" x14ac:dyDescent="0.25">
      <c r="A21" s="1" t="s">
        <v>4</v>
      </c>
      <c r="B21" s="2">
        <v>45512</v>
      </c>
      <c r="C21" s="1" t="s">
        <v>6</v>
      </c>
      <c r="D21" s="1"/>
      <c r="G21" s="3" t="s">
        <v>40</v>
      </c>
      <c r="H21" s="5">
        <v>0</v>
      </c>
      <c r="I21" s="6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13" x14ac:dyDescent="0.25">
      <c r="A22" s="1" t="s">
        <v>4</v>
      </c>
      <c r="B22" s="2">
        <v>45513</v>
      </c>
      <c r="C22" s="1" t="s">
        <v>6</v>
      </c>
      <c r="D22" s="1"/>
      <c r="G22" s="3" t="s">
        <v>41</v>
      </c>
      <c r="H22" s="5">
        <v>0</v>
      </c>
      <c r="I22" s="6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13" x14ac:dyDescent="0.25">
      <c r="A23" s="1" t="s">
        <v>4</v>
      </c>
      <c r="B23" s="2">
        <v>45514</v>
      </c>
      <c r="C23" s="1" t="s">
        <v>6</v>
      </c>
      <c r="D23" s="1"/>
      <c r="G23" s="3" t="s">
        <v>42</v>
      </c>
      <c r="H23" s="5">
        <v>0</v>
      </c>
      <c r="I23" s="6">
        <v>0</v>
      </c>
      <c r="J23" s="5">
        <v>0</v>
      </c>
      <c r="K23" s="5">
        <v>0</v>
      </c>
      <c r="L23" s="5">
        <v>0</v>
      </c>
      <c r="M23" s="5">
        <v>0</v>
      </c>
    </row>
    <row r="24" spans="1:13" ht="13" x14ac:dyDescent="0.25">
      <c r="A24" s="1" t="s">
        <v>4</v>
      </c>
      <c r="B24" s="2">
        <v>45515</v>
      </c>
      <c r="C24" s="1" t="s">
        <v>5</v>
      </c>
      <c r="D24" s="1"/>
      <c r="G24" s="18" t="s">
        <v>243</v>
      </c>
      <c r="H24" s="20"/>
      <c r="I24" s="20"/>
      <c r="J24" s="20"/>
      <c r="K24" s="20"/>
      <c r="L24" s="17">
        <v>0</v>
      </c>
      <c r="M24" s="17">
        <v>0</v>
      </c>
    </row>
    <row r="25" spans="1:13" ht="13" x14ac:dyDescent="0.25">
      <c r="A25" s="1" t="s">
        <v>4</v>
      </c>
      <c r="B25" s="2">
        <v>45516</v>
      </c>
      <c r="C25" s="1" t="s">
        <v>6</v>
      </c>
      <c r="D25" s="1"/>
      <c r="G25" s="18" t="s">
        <v>244</v>
      </c>
      <c r="H25" s="20"/>
      <c r="I25" s="20"/>
      <c r="J25" s="20"/>
      <c r="K25" s="20"/>
      <c r="L25" s="17">
        <v>48</v>
      </c>
      <c r="M25" s="17">
        <v>62</v>
      </c>
    </row>
    <row r="26" spans="1:13" ht="13" x14ac:dyDescent="0.25">
      <c r="A26" s="1" t="s">
        <v>4</v>
      </c>
      <c r="B26" s="2">
        <v>45517</v>
      </c>
      <c r="C26" s="1" t="s">
        <v>6</v>
      </c>
      <c r="D26" s="1"/>
      <c r="G26" s="18" t="s">
        <v>245</v>
      </c>
      <c r="H26" s="20"/>
      <c r="I26" s="20"/>
      <c r="J26" s="20"/>
      <c r="K26" s="20"/>
      <c r="L26" s="17">
        <v>0</v>
      </c>
      <c r="M26" s="17">
        <v>0</v>
      </c>
    </row>
    <row r="27" spans="1:13" ht="13" x14ac:dyDescent="0.25">
      <c r="A27" s="1" t="s">
        <v>4</v>
      </c>
      <c r="B27" s="2">
        <v>45518</v>
      </c>
      <c r="C27" s="1" t="s">
        <v>6</v>
      </c>
      <c r="D27" s="1"/>
      <c r="G27" s="18" t="s">
        <v>246</v>
      </c>
      <c r="H27" s="20"/>
      <c r="I27" s="20"/>
      <c r="J27" s="20"/>
      <c r="K27" s="20"/>
      <c r="L27" s="17">
        <v>24</v>
      </c>
      <c r="M27" s="17">
        <v>30</v>
      </c>
    </row>
    <row r="28" spans="1:13" ht="13" x14ac:dyDescent="0.25">
      <c r="A28" s="1" t="s">
        <v>4</v>
      </c>
      <c r="B28" s="2">
        <v>45519</v>
      </c>
      <c r="C28" s="1" t="s">
        <v>6</v>
      </c>
      <c r="D28" s="1"/>
      <c r="G28" s="18" t="s">
        <v>247</v>
      </c>
      <c r="H28" s="20"/>
      <c r="I28" s="20"/>
      <c r="J28" s="20"/>
      <c r="K28" s="20"/>
      <c r="L28" s="17">
        <v>60</v>
      </c>
      <c r="M28" s="17">
        <v>76</v>
      </c>
    </row>
    <row r="29" spans="1:13" ht="13" x14ac:dyDescent="0.25">
      <c r="A29" s="1" t="s">
        <v>4</v>
      </c>
      <c r="B29" s="2">
        <v>45520</v>
      </c>
      <c r="C29" s="1" t="s">
        <v>6</v>
      </c>
      <c r="D29" s="1"/>
      <c r="G29" s="18" t="s">
        <v>248</v>
      </c>
      <c r="H29" s="20"/>
      <c r="I29" s="20"/>
      <c r="J29" s="20"/>
      <c r="K29" s="20"/>
      <c r="L29" s="17">
        <v>18</v>
      </c>
      <c r="M29" s="17">
        <v>20</v>
      </c>
    </row>
    <row r="30" spans="1:13" x14ac:dyDescent="0.25">
      <c r="A30" s="1" t="s">
        <v>4</v>
      </c>
      <c r="B30" s="2">
        <v>45521</v>
      </c>
      <c r="C30" s="1" t="s">
        <v>6</v>
      </c>
      <c r="D30" s="1"/>
    </row>
    <row r="31" spans="1:13" x14ac:dyDescent="0.25">
      <c r="A31" s="1" t="s">
        <v>4</v>
      </c>
      <c r="B31" s="2">
        <v>45522</v>
      </c>
      <c r="C31" s="1" t="s">
        <v>5</v>
      </c>
      <c r="D31" s="1"/>
    </row>
    <row r="32" spans="1:13" x14ac:dyDescent="0.25">
      <c r="A32" s="1" t="s">
        <v>4</v>
      </c>
      <c r="B32" s="2">
        <v>45523</v>
      </c>
      <c r="C32" s="1" t="s">
        <v>6</v>
      </c>
      <c r="D32" s="1"/>
    </row>
    <row r="33" spans="1:4" x14ac:dyDescent="0.25">
      <c r="A33" s="1" t="s">
        <v>4</v>
      </c>
      <c r="B33" s="2">
        <v>45524</v>
      </c>
      <c r="C33" s="1" t="s">
        <v>6</v>
      </c>
      <c r="D33" s="1"/>
    </row>
    <row r="34" spans="1:4" x14ac:dyDescent="0.25">
      <c r="A34" s="1" t="s">
        <v>9</v>
      </c>
      <c r="B34" s="2">
        <v>45494</v>
      </c>
      <c r="C34" s="1" t="s">
        <v>5</v>
      </c>
      <c r="D34" s="1"/>
    </row>
    <row r="35" spans="1:4" x14ac:dyDescent="0.25">
      <c r="A35" s="1" t="s">
        <v>9</v>
      </c>
      <c r="B35" s="2">
        <v>45495</v>
      </c>
      <c r="C35" s="1" t="s">
        <v>6</v>
      </c>
      <c r="D35" s="1"/>
    </row>
    <row r="36" spans="1:4" x14ac:dyDescent="0.25">
      <c r="A36" s="1" t="s">
        <v>9</v>
      </c>
      <c r="B36" s="2">
        <v>45496</v>
      </c>
      <c r="C36" s="1" t="s">
        <v>6</v>
      </c>
      <c r="D36" s="1"/>
    </row>
    <row r="37" spans="1:4" x14ac:dyDescent="0.25">
      <c r="A37" s="1" t="s">
        <v>9</v>
      </c>
      <c r="B37" s="2">
        <v>45497</v>
      </c>
      <c r="C37" s="1" t="s">
        <v>6</v>
      </c>
      <c r="D37" s="1"/>
    </row>
    <row r="38" spans="1:4" x14ac:dyDescent="0.25">
      <c r="A38" s="1" t="s">
        <v>9</v>
      </c>
      <c r="B38" s="2">
        <v>45498</v>
      </c>
      <c r="C38" s="1" t="s">
        <v>6</v>
      </c>
      <c r="D38" s="1"/>
    </row>
    <row r="39" spans="1:4" x14ac:dyDescent="0.25">
      <c r="A39" s="1" t="s">
        <v>9</v>
      </c>
      <c r="B39" s="2">
        <v>45499</v>
      </c>
      <c r="C39" s="1" t="s">
        <v>6</v>
      </c>
      <c r="D39" s="1"/>
    </row>
    <row r="40" spans="1:4" x14ac:dyDescent="0.25">
      <c r="A40" s="1" t="s">
        <v>9</v>
      </c>
      <c r="B40" s="2">
        <v>45500</v>
      </c>
      <c r="C40" s="1" t="s">
        <v>6</v>
      </c>
      <c r="D40" s="1"/>
    </row>
    <row r="41" spans="1:4" x14ac:dyDescent="0.25">
      <c r="A41" s="1" t="s">
        <v>9</v>
      </c>
      <c r="B41" s="2">
        <v>45501</v>
      </c>
      <c r="C41" s="1" t="s">
        <v>6</v>
      </c>
      <c r="D41" s="1"/>
    </row>
    <row r="42" spans="1:4" x14ac:dyDescent="0.25">
      <c r="A42" s="1" t="s">
        <v>9</v>
      </c>
      <c r="B42" s="2">
        <v>45502</v>
      </c>
      <c r="C42" s="1" t="s">
        <v>6</v>
      </c>
      <c r="D42" s="1"/>
    </row>
    <row r="43" spans="1:4" x14ac:dyDescent="0.25">
      <c r="A43" s="1" t="s">
        <v>9</v>
      </c>
      <c r="B43" s="2">
        <v>45503</v>
      </c>
      <c r="C43" s="1" t="s">
        <v>6</v>
      </c>
      <c r="D43" s="1"/>
    </row>
    <row r="44" spans="1:4" x14ac:dyDescent="0.25">
      <c r="A44" s="1" t="s">
        <v>9</v>
      </c>
      <c r="B44" s="2">
        <v>45504</v>
      </c>
      <c r="C44" s="1" t="s">
        <v>6</v>
      </c>
      <c r="D44" s="1"/>
    </row>
    <row r="45" spans="1:4" x14ac:dyDescent="0.25">
      <c r="A45" s="1" t="s">
        <v>9</v>
      </c>
      <c r="B45" s="2">
        <v>45505</v>
      </c>
      <c r="C45" s="1" t="s">
        <v>6</v>
      </c>
      <c r="D45" s="1"/>
    </row>
    <row r="46" spans="1:4" x14ac:dyDescent="0.25">
      <c r="A46" s="1" t="s">
        <v>9</v>
      </c>
      <c r="B46" s="2">
        <v>45506</v>
      </c>
      <c r="C46" s="1" t="s">
        <v>6</v>
      </c>
      <c r="D46" s="1"/>
    </row>
    <row r="47" spans="1:4" x14ac:dyDescent="0.25">
      <c r="A47" s="1" t="s">
        <v>9</v>
      </c>
      <c r="B47" s="2">
        <v>45507</v>
      </c>
      <c r="C47" s="1" t="s">
        <v>6</v>
      </c>
      <c r="D47" s="1"/>
    </row>
    <row r="48" spans="1:4" x14ac:dyDescent="0.25">
      <c r="A48" s="1" t="s">
        <v>9</v>
      </c>
      <c r="B48" s="2">
        <v>45508</v>
      </c>
      <c r="C48" s="1" t="s">
        <v>5</v>
      </c>
      <c r="D48" s="1"/>
    </row>
    <row r="49" spans="1:4" x14ac:dyDescent="0.25">
      <c r="A49" s="1" t="s">
        <v>9</v>
      </c>
      <c r="B49" s="2">
        <v>45509</v>
      </c>
      <c r="C49" s="1" t="s">
        <v>6</v>
      </c>
      <c r="D49" s="1"/>
    </row>
    <row r="50" spans="1:4" x14ac:dyDescent="0.25">
      <c r="A50" s="1" t="s">
        <v>9</v>
      </c>
      <c r="B50" s="2">
        <v>45510</v>
      </c>
      <c r="C50" s="1" t="s">
        <v>6</v>
      </c>
      <c r="D50" s="1"/>
    </row>
    <row r="51" spans="1:4" x14ac:dyDescent="0.25">
      <c r="A51" s="1" t="s">
        <v>9</v>
      </c>
      <c r="B51" s="2">
        <v>45511</v>
      </c>
      <c r="C51" s="1" t="s">
        <v>6</v>
      </c>
      <c r="D51" s="1"/>
    </row>
    <row r="52" spans="1:4" x14ac:dyDescent="0.25">
      <c r="A52" s="1" t="s">
        <v>9</v>
      </c>
      <c r="B52" s="2">
        <v>45512</v>
      </c>
      <c r="C52" s="1" t="s">
        <v>6</v>
      </c>
      <c r="D52" s="1"/>
    </row>
    <row r="53" spans="1:4" x14ac:dyDescent="0.25">
      <c r="A53" s="1" t="s">
        <v>9</v>
      </c>
      <c r="B53" s="2">
        <v>45513</v>
      </c>
      <c r="C53" s="1" t="s">
        <v>6</v>
      </c>
      <c r="D53" s="1"/>
    </row>
    <row r="54" spans="1:4" x14ac:dyDescent="0.25">
      <c r="A54" s="1" t="s">
        <v>9</v>
      </c>
      <c r="B54" s="2">
        <v>45514</v>
      </c>
      <c r="C54" s="1" t="s">
        <v>6</v>
      </c>
      <c r="D54" s="1"/>
    </row>
    <row r="55" spans="1:4" x14ac:dyDescent="0.25">
      <c r="A55" s="1" t="s">
        <v>9</v>
      </c>
      <c r="B55" s="2">
        <v>45515</v>
      </c>
      <c r="C55" s="1" t="s">
        <v>6</v>
      </c>
      <c r="D55" s="1"/>
    </row>
    <row r="56" spans="1:4" x14ac:dyDescent="0.25">
      <c r="A56" s="1" t="s">
        <v>9</v>
      </c>
      <c r="B56" s="2">
        <v>45516</v>
      </c>
      <c r="C56" s="1" t="s">
        <v>6</v>
      </c>
      <c r="D56" s="1"/>
    </row>
    <row r="57" spans="1:4" x14ac:dyDescent="0.25">
      <c r="A57" s="1" t="s">
        <v>9</v>
      </c>
      <c r="B57" s="2">
        <v>45517</v>
      </c>
      <c r="C57" s="1" t="s">
        <v>10</v>
      </c>
      <c r="D57" s="1"/>
    </row>
    <row r="58" spans="1:4" x14ac:dyDescent="0.25">
      <c r="A58" s="1" t="s">
        <v>9</v>
      </c>
      <c r="B58" s="2">
        <v>45518</v>
      </c>
      <c r="C58" s="1" t="s">
        <v>6</v>
      </c>
      <c r="D58" s="1"/>
    </row>
    <row r="59" spans="1:4" x14ac:dyDescent="0.25">
      <c r="A59" s="1" t="s">
        <v>9</v>
      </c>
      <c r="B59" s="2">
        <v>45519</v>
      </c>
      <c r="C59" s="1" t="s">
        <v>6</v>
      </c>
      <c r="D59" s="1"/>
    </row>
    <row r="60" spans="1:4" x14ac:dyDescent="0.25">
      <c r="A60" s="1" t="s">
        <v>9</v>
      </c>
      <c r="B60" s="2">
        <v>45520</v>
      </c>
      <c r="C60" s="1" t="s">
        <v>6</v>
      </c>
      <c r="D60" s="1"/>
    </row>
    <row r="61" spans="1:4" x14ac:dyDescent="0.25">
      <c r="A61" s="1" t="s">
        <v>9</v>
      </c>
      <c r="B61" s="2">
        <v>45521</v>
      </c>
      <c r="C61" s="1" t="s">
        <v>6</v>
      </c>
      <c r="D61" s="1"/>
    </row>
    <row r="62" spans="1:4" x14ac:dyDescent="0.25">
      <c r="A62" s="1" t="s">
        <v>9</v>
      </c>
      <c r="B62" s="2">
        <v>45522</v>
      </c>
      <c r="C62" s="1" t="s">
        <v>5</v>
      </c>
      <c r="D62" s="1"/>
    </row>
    <row r="63" spans="1:4" x14ac:dyDescent="0.25">
      <c r="A63" s="1" t="s">
        <v>9</v>
      </c>
      <c r="B63" s="2">
        <v>45523</v>
      </c>
      <c r="C63" s="1" t="s">
        <v>6</v>
      </c>
      <c r="D63" s="1"/>
    </row>
    <row r="64" spans="1:4" x14ac:dyDescent="0.25">
      <c r="A64" s="1" t="s">
        <v>9</v>
      </c>
      <c r="B64" s="2">
        <v>45524</v>
      </c>
      <c r="C64" s="1" t="s">
        <v>6</v>
      </c>
      <c r="D64" s="1"/>
    </row>
    <row r="65" spans="1:4" x14ac:dyDescent="0.25">
      <c r="A65" s="1" t="s">
        <v>11</v>
      </c>
      <c r="B65" s="2">
        <v>45494</v>
      </c>
      <c r="C65" s="1" t="s">
        <v>12</v>
      </c>
      <c r="D65" s="1" t="s">
        <v>13</v>
      </c>
    </row>
    <row r="66" spans="1:4" x14ac:dyDescent="0.25">
      <c r="A66" s="1" t="s">
        <v>11</v>
      </c>
      <c r="B66" s="2">
        <v>45495</v>
      </c>
      <c r="C66" s="1" t="s">
        <v>12</v>
      </c>
      <c r="D66" s="1" t="s">
        <v>13</v>
      </c>
    </row>
    <row r="67" spans="1:4" x14ac:dyDescent="0.25">
      <c r="A67" s="1" t="s">
        <v>11</v>
      </c>
      <c r="B67" s="2">
        <v>45496</v>
      </c>
      <c r="C67" s="1" t="s">
        <v>12</v>
      </c>
      <c r="D67" s="1" t="s">
        <v>13</v>
      </c>
    </row>
    <row r="68" spans="1:4" x14ac:dyDescent="0.25">
      <c r="A68" s="1" t="s">
        <v>11</v>
      </c>
      <c r="B68" s="2">
        <v>45497</v>
      </c>
      <c r="C68" s="1" t="s">
        <v>12</v>
      </c>
      <c r="D68" s="1" t="s">
        <v>14</v>
      </c>
    </row>
    <row r="69" spans="1:4" x14ac:dyDescent="0.25">
      <c r="A69" s="1" t="s">
        <v>11</v>
      </c>
      <c r="B69" s="2">
        <v>45498</v>
      </c>
      <c r="C69" s="1" t="s">
        <v>10</v>
      </c>
      <c r="D69" s="1"/>
    </row>
    <row r="70" spans="1:4" x14ac:dyDescent="0.25">
      <c r="A70" s="1" t="s">
        <v>11</v>
      </c>
      <c r="B70" s="2">
        <v>45499</v>
      </c>
      <c r="C70" s="1" t="s">
        <v>12</v>
      </c>
      <c r="D70" s="1" t="s">
        <v>14</v>
      </c>
    </row>
    <row r="71" spans="1:4" x14ac:dyDescent="0.25">
      <c r="A71" s="1" t="s">
        <v>11</v>
      </c>
      <c r="B71" s="2">
        <v>45500</v>
      </c>
      <c r="C71" s="1" t="s">
        <v>12</v>
      </c>
      <c r="D71" s="1" t="s">
        <v>15</v>
      </c>
    </row>
    <row r="72" spans="1:4" x14ac:dyDescent="0.25">
      <c r="A72" s="1" t="s">
        <v>11</v>
      </c>
      <c r="B72" s="2">
        <v>45501</v>
      </c>
      <c r="C72" s="1" t="s">
        <v>12</v>
      </c>
      <c r="D72" s="1" t="s">
        <v>15</v>
      </c>
    </row>
    <row r="73" spans="1:4" x14ac:dyDescent="0.25">
      <c r="A73" s="1" t="s">
        <v>11</v>
      </c>
      <c r="B73" s="2">
        <v>45502</v>
      </c>
      <c r="C73" s="1" t="s">
        <v>12</v>
      </c>
      <c r="D73" s="1" t="s">
        <v>15</v>
      </c>
    </row>
    <row r="74" spans="1:4" x14ac:dyDescent="0.25">
      <c r="A74" s="1" t="s">
        <v>11</v>
      </c>
      <c r="B74" s="2">
        <v>45503</v>
      </c>
      <c r="C74" s="1" t="s">
        <v>10</v>
      </c>
      <c r="D74" s="1"/>
    </row>
    <row r="75" spans="1:4" x14ac:dyDescent="0.25">
      <c r="A75" s="1" t="s">
        <v>11</v>
      </c>
      <c r="B75" s="2">
        <v>45504</v>
      </c>
      <c r="C75" s="1" t="s">
        <v>12</v>
      </c>
      <c r="D75" s="1" t="s">
        <v>13</v>
      </c>
    </row>
    <row r="76" spans="1:4" x14ac:dyDescent="0.25">
      <c r="A76" s="1" t="s">
        <v>11</v>
      </c>
      <c r="B76" s="2">
        <v>45505</v>
      </c>
      <c r="C76" s="1" t="s">
        <v>12</v>
      </c>
      <c r="D76" s="1" t="s">
        <v>13</v>
      </c>
    </row>
    <row r="77" spans="1:4" x14ac:dyDescent="0.25">
      <c r="A77" s="1" t="s">
        <v>11</v>
      </c>
      <c r="B77" s="2">
        <v>45506</v>
      </c>
      <c r="C77" s="1" t="s">
        <v>12</v>
      </c>
      <c r="D77" s="1" t="s">
        <v>14</v>
      </c>
    </row>
    <row r="78" spans="1:4" x14ac:dyDescent="0.25">
      <c r="A78" s="1" t="s">
        <v>11</v>
      </c>
      <c r="B78" s="2">
        <v>45507</v>
      </c>
      <c r="C78" s="1" t="s">
        <v>12</v>
      </c>
      <c r="D78" s="1" t="s">
        <v>14</v>
      </c>
    </row>
    <row r="79" spans="1:4" x14ac:dyDescent="0.25">
      <c r="A79" s="1" t="s">
        <v>11</v>
      </c>
      <c r="B79" s="2">
        <v>45508</v>
      </c>
      <c r="C79" s="1" t="s">
        <v>12</v>
      </c>
      <c r="D79" s="1" t="s">
        <v>14</v>
      </c>
    </row>
    <row r="80" spans="1:4" x14ac:dyDescent="0.25">
      <c r="A80" s="1" t="s">
        <v>11</v>
      </c>
      <c r="B80" s="2">
        <v>45509</v>
      </c>
      <c r="C80" s="1" t="s">
        <v>12</v>
      </c>
      <c r="D80" s="1" t="s">
        <v>15</v>
      </c>
    </row>
    <row r="81" spans="1:4" x14ac:dyDescent="0.25">
      <c r="A81" s="1" t="s">
        <v>11</v>
      </c>
      <c r="B81" s="2">
        <v>45510</v>
      </c>
      <c r="C81" s="1" t="s">
        <v>10</v>
      </c>
      <c r="D81" s="1"/>
    </row>
    <row r="82" spans="1:4" x14ac:dyDescent="0.25">
      <c r="A82" s="1" t="s">
        <v>11</v>
      </c>
      <c r="B82" s="2">
        <v>45511</v>
      </c>
      <c r="C82" s="1" t="s">
        <v>12</v>
      </c>
      <c r="D82" s="1" t="s">
        <v>15</v>
      </c>
    </row>
    <row r="83" spans="1:4" x14ac:dyDescent="0.25">
      <c r="A83" s="1" t="s">
        <v>11</v>
      </c>
      <c r="B83" s="2">
        <v>45512</v>
      </c>
      <c r="C83" s="1" t="s">
        <v>12</v>
      </c>
      <c r="D83" s="1" t="s">
        <v>13</v>
      </c>
    </row>
    <row r="84" spans="1:4" x14ac:dyDescent="0.25">
      <c r="A84" s="1" t="s">
        <v>11</v>
      </c>
      <c r="B84" s="2">
        <v>45513</v>
      </c>
      <c r="C84" s="1" t="s">
        <v>12</v>
      </c>
      <c r="D84" s="1" t="s">
        <v>13</v>
      </c>
    </row>
    <row r="85" spans="1:4" x14ac:dyDescent="0.25">
      <c r="A85" s="1" t="s">
        <v>11</v>
      </c>
      <c r="B85" s="2">
        <v>45514</v>
      </c>
      <c r="C85" s="1" t="s">
        <v>12</v>
      </c>
      <c r="D85" s="1" t="s">
        <v>13</v>
      </c>
    </row>
    <row r="86" spans="1:4" x14ac:dyDescent="0.25">
      <c r="A86" s="1" t="s">
        <v>11</v>
      </c>
      <c r="B86" s="2">
        <v>45515</v>
      </c>
      <c r="C86" s="1" t="s">
        <v>12</v>
      </c>
      <c r="D86" s="1" t="s">
        <v>14</v>
      </c>
    </row>
    <row r="87" spans="1:4" x14ac:dyDescent="0.25">
      <c r="A87" s="1" t="s">
        <v>11</v>
      </c>
      <c r="B87" s="2">
        <v>45516</v>
      </c>
      <c r="C87" s="1" t="s">
        <v>10</v>
      </c>
      <c r="D87" s="1"/>
    </row>
    <row r="88" spans="1:4" x14ac:dyDescent="0.25">
      <c r="A88" s="1" t="s">
        <v>11</v>
      </c>
      <c r="B88" s="2">
        <v>45517</v>
      </c>
      <c r="C88" s="1" t="s">
        <v>12</v>
      </c>
      <c r="D88" s="1" t="s">
        <v>14</v>
      </c>
    </row>
    <row r="89" spans="1:4" x14ac:dyDescent="0.25">
      <c r="A89" s="1" t="s">
        <v>11</v>
      </c>
      <c r="B89" s="2">
        <v>45518</v>
      </c>
      <c r="C89" s="1" t="s">
        <v>12</v>
      </c>
      <c r="D89" s="1" t="s">
        <v>15</v>
      </c>
    </row>
    <row r="90" spans="1:4" x14ac:dyDescent="0.25">
      <c r="A90" s="1" t="s">
        <v>11</v>
      </c>
      <c r="B90" s="2">
        <v>45519</v>
      </c>
      <c r="C90" s="1" t="s">
        <v>12</v>
      </c>
      <c r="D90" s="1" t="s">
        <v>15</v>
      </c>
    </row>
    <row r="91" spans="1:4" x14ac:dyDescent="0.25">
      <c r="A91" s="1" t="s">
        <v>11</v>
      </c>
      <c r="B91" s="2">
        <v>45520</v>
      </c>
      <c r="C91" s="1" t="s">
        <v>12</v>
      </c>
      <c r="D91" s="1" t="s">
        <v>15</v>
      </c>
    </row>
    <row r="92" spans="1:4" x14ac:dyDescent="0.25">
      <c r="A92" s="1" t="s">
        <v>11</v>
      </c>
      <c r="B92" s="2">
        <v>45521</v>
      </c>
      <c r="C92" s="1" t="s">
        <v>12</v>
      </c>
      <c r="D92" s="1" t="s">
        <v>13</v>
      </c>
    </row>
    <row r="93" spans="1:4" x14ac:dyDescent="0.25">
      <c r="A93" s="1" t="s">
        <v>11</v>
      </c>
      <c r="B93" s="2">
        <v>45522</v>
      </c>
      <c r="C93" s="1" t="s">
        <v>12</v>
      </c>
      <c r="D93" s="1" t="s">
        <v>13</v>
      </c>
    </row>
    <row r="94" spans="1:4" x14ac:dyDescent="0.25">
      <c r="A94" s="1" t="s">
        <v>11</v>
      </c>
      <c r="B94" s="2">
        <v>45523</v>
      </c>
      <c r="C94" s="1" t="s">
        <v>12</v>
      </c>
      <c r="D94" s="1" t="s">
        <v>13</v>
      </c>
    </row>
    <row r="95" spans="1:4" x14ac:dyDescent="0.25">
      <c r="A95" s="1" t="s">
        <v>11</v>
      </c>
      <c r="B95" s="2">
        <v>45524</v>
      </c>
      <c r="C95" s="1" t="s">
        <v>12</v>
      </c>
      <c r="D95" s="1" t="s">
        <v>14</v>
      </c>
    </row>
    <row r="96" spans="1:4" x14ac:dyDescent="0.25">
      <c r="A96" s="1" t="s">
        <v>16</v>
      </c>
      <c r="B96" s="2">
        <v>45494</v>
      </c>
      <c r="C96" s="1" t="s">
        <v>12</v>
      </c>
      <c r="D96" s="1" t="s">
        <v>13</v>
      </c>
    </row>
    <row r="97" spans="1:4" x14ac:dyDescent="0.25">
      <c r="A97" s="1" t="s">
        <v>16</v>
      </c>
      <c r="B97" s="2">
        <v>45495</v>
      </c>
      <c r="C97" s="1" t="s">
        <v>12</v>
      </c>
      <c r="D97" s="1" t="s">
        <v>13</v>
      </c>
    </row>
    <row r="98" spans="1:4" x14ac:dyDescent="0.25">
      <c r="A98" s="1" t="s">
        <v>16</v>
      </c>
      <c r="B98" s="2">
        <v>45496</v>
      </c>
      <c r="C98" s="1" t="s">
        <v>12</v>
      </c>
      <c r="D98" s="1" t="s">
        <v>13</v>
      </c>
    </row>
    <row r="99" spans="1:4" x14ac:dyDescent="0.25">
      <c r="A99" s="1" t="s">
        <v>16</v>
      </c>
      <c r="B99" s="2">
        <v>45497</v>
      </c>
      <c r="C99" s="1" t="s">
        <v>12</v>
      </c>
      <c r="D99" s="1" t="s">
        <v>14</v>
      </c>
    </row>
    <row r="100" spans="1:4" x14ac:dyDescent="0.25">
      <c r="A100" s="1" t="s">
        <v>16</v>
      </c>
      <c r="B100" s="2">
        <v>45498</v>
      </c>
      <c r="C100" s="1" t="s">
        <v>12</v>
      </c>
      <c r="D100" s="1" t="s">
        <v>14</v>
      </c>
    </row>
    <row r="101" spans="1:4" x14ac:dyDescent="0.25">
      <c r="A101" s="1" t="s">
        <v>16</v>
      </c>
      <c r="B101" s="2">
        <v>45499</v>
      </c>
      <c r="C101" s="1" t="s">
        <v>10</v>
      </c>
      <c r="D101" s="1"/>
    </row>
    <row r="102" spans="1:4" x14ac:dyDescent="0.25">
      <c r="A102" s="1" t="s">
        <v>16</v>
      </c>
      <c r="B102" s="2">
        <v>45500</v>
      </c>
      <c r="C102" s="1" t="s">
        <v>12</v>
      </c>
      <c r="D102" s="1" t="s">
        <v>15</v>
      </c>
    </row>
    <row r="103" spans="1:4" x14ac:dyDescent="0.25">
      <c r="A103" s="1" t="s">
        <v>16</v>
      </c>
      <c r="B103" s="2">
        <v>45501</v>
      </c>
      <c r="C103" s="1" t="s">
        <v>12</v>
      </c>
      <c r="D103" s="1" t="s">
        <v>15</v>
      </c>
    </row>
    <row r="104" spans="1:4" x14ac:dyDescent="0.25">
      <c r="A104" s="1" t="s">
        <v>16</v>
      </c>
      <c r="B104" s="2">
        <v>45502</v>
      </c>
      <c r="C104" s="1" t="s">
        <v>12</v>
      </c>
      <c r="D104" s="1" t="s">
        <v>15</v>
      </c>
    </row>
    <row r="105" spans="1:4" x14ac:dyDescent="0.25">
      <c r="A105" s="1" t="s">
        <v>16</v>
      </c>
      <c r="B105" s="2">
        <v>45503</v>
      </c>
      <c r="C105" s="1" t="s">
        <v>12</v>
      </c>
      <c r="D105" s="1" t="s">
        <v>13</v>
      </c>
    </row>
    <row r="106" spans="1:4" x14ac:dyDescent="0.25">
      <c r="A106" s="1" t="s">
        <v>16</v>
      </c>
      <c r="B106" s="2">
        <v>45504</v>
      </c>
      <c r="C106" s="1" t="s">
        <v>12</v>
      </c>
      <c r="D106" s="1" t="s">
        <v>13</v>
      </c>
    </row>
    <row r="107" spans="1:4" x14ac:dyDescent="0.25">
      <c r="A107" s="1" t="s">
        <v>16</v>
      </c>
      <c r="B107" s="2">
        <v>45505</v>
      </c>
      <c r="C107" s="1" t="s">
        <v>12</v>
      </c>
      <c r="D107" s="1" t="s">
        <v>13</v>
      </c>
    </row>
    <row r="108" spans="1:4" x14ac:dyDescent="0.25">
      <c r="A108" s="1" t="s">
        <v>16</v>
      </c>
      <c r="B108" s="2">
        <v>45506</v>
      </c>
      <c r="C108" s="1" t="s">
        <v>12</v>
      </c>
      <c r="D108" s="1" t="s">
        <v>14</v>
      </c>
    </row>
    <row r="109" spans="1:4" x14ac:dyDescent="0.25">
      <c r="A109" s="1" t="s">
        <v>16</v>
      </c>
      <c r="B109" s="2">
        <v>45507</v>
      </c>
      <c r="C109" s="1" t="s">
        <v>12</v>
      </c>
      <c r="D109" s="1" t="s">
        <v>14</v>
      </c>
    </row>
    <row r="110" spans="1:4" x14ac:dyDescent="0.25">
      <c r="A110" s="1" t="s">
        <v>16</v>
      </c>
      <c r="B110" s="2">
        <v>45508</v>
      </c>
      <c r="C110" s="1" t="s">
        <v>12</v>
      </c>
      <c r="D110" s="1" t="s">
        <v>14</v>
      </c>
    </row>
    <row r="111" spans="1:4" x14ac:dyDescent="0.25">
      <c r="A111" s="1" t="s">
        <v>16</v>
      </c>
      <c r="B111" s="2">
        <v>45509</v>
      </c>
      <c r="C111" s="1" t="s">
        <v>10</v>
      </c>
      <c r="D111" s="1"/>
    </row>
    <row r="112" spans="1:4" x14ac:dyDescent="0.25">
      <c r="A112" s="1" t="s">
        <v>16</v>
      </c>
      <c r="B112" s="2">
        <v>45510</v>
      </c>
      <c r="C112" s="1" t="s">
        <v>12</v>
      </c>
      <c r="D112" s="1" t="s">
        <v>15</v>
      </c>
    </row>
    <row r="113" spans="1:4" x14ac:dyDescent="0.25">
      <c r="A113" s="1" t="s">
        <v>16</v>
      </c>
      <c r="B113" s="2">
        <v>45511</v>
      </c>
      <c r="C113" s="1" t="s">
        <v>10</v>
      </c>
      <c r="D113" s="1"/>
    </row>
    <row r="114" spans="1:4" x14ac:dyDescent="0.25">
      <c r="A114" s="1" t="s">
        <v>16</v>
      </c>
      <c r="B114" s="2">
        <v>45512</v>
      </c>
      <c r="C114" s="1" t="s">
        <v>12</v>
      </c>
      <c r="D114" s="1" t="s">
        <v>13</v>
      </c>
    </row>
    <row r="115" spans="1:4" x14ac:dyDescent="0.25">
      <c r="A115" s="1" t="s">
        <v>16</v>
      </c>
      <c r="B115" s="2">
        <v>45513</v>
      </c>
      <c r="C115" s="1" t="s">
        <v>12</v>
      </c>
      <c r="D115" s="1" t="s">
        <v>13</v>
      </c>
    </row>
    <row r="116" spans="1:4" x14ac:dyDescent="0.25">
      <c r="A116" s="1" t="s">
        <v>16</v>
      </c>
      <c r="B116" s="2">
        <v>45514</v>
      </c>
      <c r="C116" s="1" t="s">
        <v>12</v>
      </c>
      <c r="D116" s="1" t="s">
        <v>13</v>
      </c>
    </row>
    <row r="117" spans="1:4" x14ac:dyDescent="0.25">
      <c r="A117" s="1" t="s">
        <v>16</v>
      </c>
      <c r="B117" s="2">
        <v>45515</v>
      </c>
      <c r="C117" s="1" t="s">
        <v>12</v>
      </c>
      <c r="D117" s="1" t="s">
        <v>14</v>
      </c>
    </row>
    <row r="118" spans="1:4" x14ac:dyDescent="0.25">
      <c r="A118" s="1" t="s">
        <v>16</v>
      </c>
      <c r="B118" s="2">
        <v>45516</v>
      </c>
      <c r="C118" s="1" t="s">
        <v>12</v>
      </c>
      <c r="D118" s="1" t="s">
        <v>14</v>
      </c>
    </row>
    <row r="119" spans="1:4" x14ac:dyDescent="0.25">
      <c r="A119" s="1" t="s">
        <v>16</v>
      </c>
      <c r="B119" s="2">
        <v>45517</v>
      </c>
      <c r="C119" s="1" t="s">
        <v>10</v>
      </c>
      <c r="D119" s="1"/>
    </row>
    <row r="120" spans="1:4" x14ac:dyDescent="0.25">
      <c r="A120" s="1" t="s">
        <v>16</v>
      </c>
      <c r="B120" s="2">
        <v>45518</v>
      </c>
      <c r="C120" s="1" t="s">
        <v>12</v>
      </c>
      <c r="D120" s="1" t="s">
        <v>15</v>
      </c>
    </row>
    <row r="121" spans="1:4" x14ac:dyDescent="0.25">
      <c r="A121" s="1" t="s">
        <v>16</v>
      </c>
      <c r="B121" s="2">
        <v>45519</v>
      </c>
      <c r="C121" s="1" t="s">
        <v>12</v>
      </c>
      <c r="D121" s="1" t="s">
        <v>15</v>
      </c>
    </row>
    <row r="122" spans="1:4" x14ac:dyDescent="0.25">
      <c r="A122" s="1" t="s">
        <v>16</v>
      </c>
      <c r="B122" s="2">
        <v>45520</v>
      </c>
      <c r="C122" s="1" t="s">
        <v>12</v>
      </c>
      <c r="D122" s="1" t="s">
        <v>15</v>
      </c>
    </row>
    <row r="123" spans="1:4" x14ac:dyDescent="0.25">
      <c r="A123" s="1" t="s">
        <v>16</v>
      </c>
      <c r="B123" s="2">
        <v>45521</v>
      </c>
      <c r="C123" s="1" t="s">
        <v>12</v>
      </c>
      <c r="D123" s="1" t="s">
        <v>13</v>
      </c>
    </row>
    <row r="124" spans="1:4" x14ac:dyDescent="0.25">
      <c r="A124" s="1" t="s">
        <v>16</v>
      </c>
      <c r="B124" s="2">
        <v>45522</v>
      </c>
      <c r="C124" s="1" t="s">
        <v>12</v>
      </c>
      <c r="D124" s="1" t="s">
        <v>13</v>
      </c>
    </row>
    <row r="125" spans="1:4" x14ac:dyDescent="0.25">
      <c r="A125" s="1" t="s">
        <v>16</v>
      </c>
      <c r="B125" s="2">
        <v>45523</v>
      </c>
      <c r="C125" s="1" t="s">
        <v>10</v>
      </c>
      <c r="D125" s="1"/>
    </row>
    <row r="126" spans="1:4" x14ac:dyDescent="0.25">
      <c r="A126" s="1" t="s">
        <v>16</v>
      </c>
      <c r="B126" s="2">
        <v>45524</v>
      </c>
      <c r="C126" s="1" t="s">
        <v>12</v>
      </c>
      <c r="D126" s="1" t="s">
        <v>14</v>
      </c>
    </row>
    <row r="127" spans="1:4" x14ac:dyDescent="0.25">
      <c r="A127" s="1" t="s">
        <v>17</v>
      </c>
      <c r="B127" s="2">
        <v>45494</v>
      </c>
      <c r="C127" s="1" t="s">
        <v>12</v>
      </c>
      <c r="D127" s="1" t="s">
        <v>18</v>
      </c>
    </row>
    <row r="128" spans="1:4" x14ac:dyDescent="0.25">
      <c r="A128" s="1" t="s">
        <v>17</v>
      </c>
      <c r="B128" s="2">
        <v>45495</v>
      </c>
      <c r="C128" s="1" t="s">
        <v>12</v>
      </c>
      <c r="D128" s="1" t="s">
        <v>19</v>
      </c>
    </row>
    <row r="129" spans="1:4" x14ac:dyDescent="0.25">
      <c r="A129" s="1" t="s">
        <v>17</v>
      </c>
      <c r="B129" s="2">
        <v>45496</v>
      </c>
      <c r="C129" s="1" t="s">
        <v>10</v>
      </c>
      <c r="D129" s="1"/>
    </row>
    <row r="130" spans="1:4" x14ac:dyDescent="0.25">
      <c r="A130" s="1" t="s">
        <v>17</v>
      </c>
      <c r="B130" s="2">
        <v>45497</v>
      </c>
      <c r="C130" s="1" t="s">
        <v>12</v>
      </c>
      <c r="D130" s="1" t="s">
        <v>20</v>
      </c>
    </row>
    <row r="131" spans="1:4" x14ac:dyDescent="0.25">
      <c r="A131" s="1" t="s">
        <v>17</v>
      </c>
      <c r="B131" s="2">
        <v>45498</v>
      </c>
      <c r="C131" s="1" t="s">
        <v>12</v>
      </c>
      <c r="D131" s="1" t="s">
        <v>20</v>
      </c>
    </row>
    <row r="132" spans="1:4" x14ac:dyDescent="0.25">
      <c r="A132" s="1" t="s">
        <v>17</v>
      </c>
      <c r="B132" s="2">
        <v>45499</v>
      </c>
      <c r="C132" s="1" t="s">
        <v>12</v>
      </c>
      <c r="D132" s="1" t="s">
        <v>20</v>
      </c>
    </row>
    <row r="133" spans="1:4" x14ac:dyDescent="0.25">
      <c r="A133" s="1" t="s">
        <v>17</v>
      </c>
      <c r="B133" s="2">
        <v>45500</v>
      </c>
      <c r="C133" s="1" t="s">
        <v>12</v>
      </c>
      <c r="D133" s="1" t="s">
        <v>20</v>
      </c>
    </row>
    <row r="134" spans="1:4" x14ac:dyDescent="0.25">
      <c r="A134" s="1" t="s">
        <v>17</v>
      </c>
      <c r="B134" s="2">
        <v>45501</v>
      </c>
      <c r="C134" s="1" t="s">
        <v>12</v>
      </c>
      <c r="D134" s="1" t="s">
        <v>20</v>
      </c>
    </row>
    <row r="135" spans="1:4" x14ac:dyDescent="0.25">
      <c r="A135" s="1" t="s">
        <v>17</v>
      </c>
      <c r="B135" s="2">
        <v>45502</v>
      </c>
      <c r="C135" s="1" t="s">
        <v>12</v>
      </c>
      <c r="D135" s="1" t="s">
        <v>19</v>
      </c>
    </row>
    <row r="136" spans="1:4" x14ac:dyDescent="0.25">
      <c r="A136" s="1" t="s">
        <v>17</v>
      </c>
      <c r="B136" s="2">
        <v>45503</v>
      </c>
      <c r="C136" s="1" t="s">
        <v>12</v>
      </c>
      <c r="D136" s="1" t="s">
        <v>18</v>
      </c>
    </row>
    <row r="137" spans="1:4" x14ac:dyDescent="0.25">
      <c r="A137" s="1" t="s">
        <v>17</v>
      </c>
      <c r="B137" s="2">
        <v>45504</v>
      </c>
      <c r="C137" s="1" t="s">
        <v>12</v>
      </c>
      <c r="D137" s="1" t="s">
        <v>18</v>
      </c>
    </row>
    <row r="138" spans="1:4" x14ac:dyDescent="0.25">
      <c r="A138" s="1" t="s">
        <v>17</v>
      </c>
      <c r="B138" s="2">
        <v>45505</v>
      </c>
      <c r="C138" s="1" t="s">
        <v>12</v>
      </c>
      <c r="D138" s="1" t="s">
        <v>18</v>
      </c>
    </row>
    <row r="139" spans="1:4" x14ac:dyDescent="0.25">
      <c r="A139" s="1" t="s">
        <v>17</v>
      </c>
      <c r="B139" s="2">
        <v>45506</v>
      </c>
      <c r="C139" s="1" t="s">
        <v>12</v>
      </c>
      <c r="D139" s="1" t="s">
        <v>18</v>
      </c>
    </row>
    <row r="140" spans="1:4" x14ac:dyDescent="0.25">
      <c r="A140" s="1" t="s">
        <v>17</v>
      </c>
      <c r="B140" s="2">
        <v>45507</v>
      </c>
      <c r="C140" s="1" t="s">
        <v>12</v>
      </c>
      <c r="D140" s="1" t="s">
        <v>18</v>
      </c>
    </row>
    <row r="141" spans="1:4" x14ac:dyDescent="0.25">
      <c r="A141" s="1" t="s">
        <v>17</v>
      </c>
      <c r="B141" s="2">
        <v>45508</v>
      </c>
      <c r="C141" s="1" t="s">
        <v>12</v>
      </c>
      <c r="D141" s="1" t="s">
        <v>18</v>
      </c>
    </row>
    <row r="142" spans="1:4" x14ac:dyDescent="0.25">
      <c r="A142" s="1" t="s">
        <v>17</v>
      </c>
      <c r="B142" s="2">
        <v>45509</v>
      </c>
      <c r="C142" s="1" t="s">
        <v>12</v>
      </c>
      <c r="D142" s="1" t="s">
        <v>19</v>
      </c>
    </row>
    <row r="143" spans="1:4" x14ac:dyDescent="0.25">
      <c r="A143" s="1" t="s">
        <v>17</v>
      </c>
      <c r="B143" s="2">
        <v>45510</v>
      </c>
      <c r="C143" s="1" t="s">
        <v>10</v>
      </c>
      <c r="D143" s="1"/>
    </row>
    <row r="144" spans="1:4" x14ac:dyDescent="0.25">
      <c r="A144" s="1" t="s">
        <v>17</v>
      </c>
      <c r="B144" s="2">
        <v>45511</v>
      </c>
      <c r="C144" s="1" t="s">
        <v>12</v>
      </c>
      <c r="D144" s="1" t="s">
        <v>20</v>
      </c>
    </row>
    <row r="145" spans="1:4" x14ac:dyDescent="0.25">
      <c r="A145" s="1" t="s">
        <v>17</v>
      </c>
      <c r="B145" s="2">
        <v>45512</v>
      </c>
      <c r="C145" s="1" t="s">
        <v>12</v>
      </c>
      <c r="D145" s="1" t="s">
        <v>20</v>
      </c>
    </row>
    <row r="146" spans="1:4" x14ac:dyDescent="0.25">
      <c r="A146" s="1" t="s">
        <v>17</v>
      </c>
      <c r="B146" s="2">
        <v>45513</v>
      </c>
      <c r="C146" s="1" t="s">
        <v>12</v>
      </c>
      <c r="D146" s="1" t="s">
        <v>20</v>
      </c>
    </row>
    <row r="147" spans="1:4" x14ac:dyDescent="0.25">
      <c r="A147" s="1" t="s">
        <v>17</v>
      </c>
      <c r="B147" s="2">
        <v>45514</v>
      </c>
      <c r="C147" s="1" t="s">
        <v>12</v>
      </c>
      <c r="D147" s="1" t="s">
        <v>20</v>
      </c>
    </row>
    <row r="148" spans="1:4" x14ac:dyDescent="0.25">
      <c r="A148" s="1" t="s">
        <v>17</v>
      </c>
      <c r="B148" s="2">
        <v>45515</v>
      </c>
      <c r="C148" s="1" t="s">
        <v>12</v>
      </c>
      <c r="D148" s="1" t="s">
        <v>20</v>
      </c>
    </row>
    <row r="149" spans="1:4" x14ac:dyDescent="0.25">
      <c r="A149" s="1" t="s">
        <v>17</v>
      </c>
      <c r="B149" s="2">
        <v>45516</v>
      </c>
      <c r="C149" s="1" t="s">
        <v>12</v>
      </c>
      <c r="D149" s="1" t="s">
        <v>19</v>
      </c>
    </row>
    <row r="150" spans="1:4" x14ac:dyDescent="0.25">
      <c r="A150" s="1" t="s">
        <v>17</v>
      </c>
      <c r="B150" s="2">
        <v>45517</v>
      </c>
      <c r="C150" s="1" t="s">
        <v>12</v>
      </c>
      <c r="D150" s="1" t="s">
        <v>18</v>
      </c>
    </row>
    <row r="151" spans="1:4" x14ac:dyDescent="0.25">
      <c r="A151" s="1" t="s">
        <v>17</v>
      </c>
      <c r="B151" s="2">
        <v>45518</v>
      </c>
      <c r="C151" s="1" t="s">
        <v>12</v>
      </c>
      <c r="D151" s="1" t="s">
        <v>18</v>
      </c>
    </row>
    <row r="152" spans="1:4" x14ac:dyDescent="0.25">
      <c r="A152" s="1" t="s">
        <v>17</v>
      </c>
      <c r="B152" s="2">
        <v>45519</v>
      </c>
      <c r="C152" s="1" t="s">
        <v>12</v>
      </c>
      <c r="D152" s="1" t="s">
        <v>18</v>
      </c>
    </row>
    <row r="153" spans="1:4" x14ac:dyDescent="0.25">
      <c r="A153" s="1" t="s">
        <v>17</v>
      </c>
      <c r="B153" s="2">
        <v>45520</v>
      </c>
      <c r="C153" s="1" t="s">
        <v>12</v>
      </c>
      <c r="D153" s="1" t="s">
        <v>18</v>
      </c>
    </row>
    <row r="154" spans="1:4" x14ac:dyDescent="0.25">
      <c r="A154" s="1" t="s">
        <v>17</v>
      </c>
      <c r="B154" s="2">
        <v>45521</v>
      </c>
      <c r="C154" s="1" t="s">
        <v>10</v>
      </c>
      <c r="D154" s="1"/>
    </row>
    <row r="155" spans="1:4" x14ac:dyDescent="0.25">
      <c r="A155" s="1" t="s">
        <v>17</v>
      </c>
      <c r="B155" s="2">
        <v>45522</v>
      </c>
      <c r="C155" s="1" t="s">
        <v>12</v>
      </c>
      <c r="D155" s="1" t="s">
        <v>18</v>
      </c>
    </row>
    <row r="156" spans="1:4" x14ac:dyDescent="0.25">
      <c r="A156" s="1" t="s">
        <v>17</v>
      </c>
      <c r="B156" s="2">
        <v>45523</v>
      </c>
      <c r="C156" s="1" t="s">
        <v>12</v>
      </c>
      <c r="D156" s="1" t="s">
        <v>19</v>
      </c>
    </row>
    <row r="157" spans="1:4" x14ac:dyDescent="0.25">
      <c r="A157" s="1" t="s">
        <v>17</v>
      </c>
      <c r="B157" s="2">
        <v>45524</v>
      </c>
      <c r="C157" s="1" t="s">
        <v>10</v>
      </c>
      <c r="D157" s="1"/>
    </row>
    <row r="158" spans="1:4" x14ac:dyDescent="0.25">
      <c r="A158" s="1" t="s">
        <v>21</v>
      </c>
      <c r="B158" s="2">
        <v>45494</v>
      </c>
      <c r="C158" s="1" t="s">
        <v>12</v>
      </c>
      <c r="D158" s="1" t="s">
        <v>20</v>
      </c>
    </row>
    <row r="159" spans="1:4" x14ac:dyDescent="0.25">
      <c r="A159" s="1" t="s">
        <v>21</v>
      </c>
      <c r="B159" s="2">
        <v>45495</v>
      </c>
      <c r="C159" s="1" t="s">
        <v>12</v>
      </c>
      <c r="D159" s="1" t="s">
        <v>19</v>
      </c>
    </row>
    <row r="160" spans="1:4" x14ac:dyDescent="0.25">
      <c r="A160" s="1" t="s">
        <v>21</v>
      </c>
      <c r="B160" s="2">
        <v>45496</v>
      </c>
      <c r="C160" s="1" t="s">
        <v>12</v>
      </c>
      <c r="D160" s="1" t="s">
        <v>18</v>
      </c>
    </row>
    <row r="161" spans="1:4" x14ac:dyDescent="0.25">
      <c r="A161" s="1" t="s">
        <v>21</v>
      </c>
      <c r="B161" s="2">
        <v>45497</v>
      </c>
      <c r="C161" s="1" t="s">
        <v>12</v>
      </c>
      <c r="D161" s="1" t="s">
        <v>18</v>
      </c>
    </row>
    <row r="162" spans="1:4" x14ac:dyDescent="0.25">
      <c r="A162" s="1" t="s">
        <v>21</v>
      </c>
      <c r="B162" s="2">
        <v>45498</v>
      </c>
      <c r="C162" s="1" t="s">
        <v>12</v>
      </c>
      <c r="D162" s="1" t="s">
        <v>18</v>
      </c>
    </row>
    <row r="163" spans="1:4" x14ac:dyDescent="0.25">
      <c r="A163" s="1" t="s">
        <v>21</v>
      </c>
      <c r="B163" s="2">
        <v>45499</v>
      </c>
      <c r="C163" s="1" t="s">
        <v>12</v>
      </c>
      <c r="D163" s="1" t="s">
        <v>18</v>
      </c>
    </row>
    <row r="164" spans="1:4" x14ac:dyDescent="0.25">
      <c r="A164" s="1" t="s">
        <v>21</v>
      </c>
      <c r="B164" s="2">
        <v>45500</v>
      </c>
      <c r="C164" s="1" t="s">
        <v>12</v>
      </c>
      <c r="D164" s="1" t="s">
        <v>18</v>
      </c>
    </row>
    <row r="165" spans="1:4" x14ac:dyDescent="0.25">
      <c r="A165" s="1" t="s">
        <v>21</v>
      </c>
      <c r="B165" s="2">
        <v>45501</v>
      </c>
      <c r="C165" s="1" t="s">
        <v>12</v>
      </c>
      <c r="D165" s="1" t="s">
        <v>18</v>
      </c>
    </row>
    <row r="166" spans="1:4" x14ac:dyDescent="0.25">
      <c r="A166" s="1" t="s">
        <v>21</v>
      </c>
      <c r="B166" s="2">
        <v>45502</v>
      </c>
      <c r="C166" s="1" t="s">
        <v>12</v>
      </c>
      <c r="D166" s="1" t="s">
        <v>19</v>
      </c>
    </row>
    <row r="167" spans="1:4" x14ac:dyDescent="0.25">
      <c r="A167" s="1" t="s">
        <v>21</v>
      </c>
      <c r="B167" s="2">
        <v>45503</v>
      </c>
      <c r="C167" s="1" t="s">
        <v>12</v>
      </c>
      <c r="D167" s="1" t="s">
        <v>20</v>
      </c>
    </row>
    <row r="168" spans="1:4" x14ac:dyDescent="0.25">
      <c r="A168" s="1" t="s">
        <v>21</v>
      </c>
      <c r="B168" s="2">
        <v>45504</v>
      </c>
      <c r="C168" s="1" t="s">
        <v>12</v>
      </c>
      <c r="D168" s="1" t="s">
        <v>20</v>
      </c>
    </row>
    <row r="169" spans="1:4" x14ac:dyDescent="0.25">
      <c r="A169" s="1" t="s">
        <v>21</v>
      </c>
      <c r="B169" s="2">
        <v>45505</v>
      </c>
      <c r="C169" s="1" t="s">
        <v>12</v>
      </c>
      <c r="D169" s="1" t="s">
        <v>20</v>
      </c>
    </row>
    <row r="170" spans="1:4" x14ac:dyDescent="0.25">
      <c r="A170" s="1" t="s">
        <v>21</v>
      </c>
      <c r="B170" s="2">
        <v>45506</v>
      </c>
      <c r="C170" s="1" t="s">
        <v>10</v>
      </c>
      <c r="D170" s="1"/>
    </row>
    <row r="171" spans="1:4" x14ac:dyDescent="0.25">
      <c r="A171" s="1" t="s">
        <v>21</v>
      </c>
      <c r="B171" s="2">
        <v>45507</v>
      </c>
      <c r="C171" s="1" t="s">
        <v>12</v>
      </c>
      <c r="D171" s="1" t="s">
        <v>20</v>
      </c>
    </row>
    <row r="172" spans="1:4" x14ac:dyDescent="0.25">
      <c r="A172" s="1" t="s">
        <v>21</v>
      </c>
      <c r="B172" s="2">
        <v>45508</v>
      </c>
      <c r="C172" s="1" t="s">
        <v>12</v>
      </c>
      <c r="D172" s="1" t="s">
        <v>20</v>
      </c>
    </row>
    <row r="173" spans="1:4" x14ac:dyDescent="0.25">
      <c r="A173" s="1" t="s">
        <v>21</v>
      </c>
      <c r="B173" s="2">
        <v>45509</v>
      </c>
      <c r="C173" s="1" t="s">
        <v>12</v>
      </c>
      <c r="D173" s="1" t="s">
        <v>19</v>
      </c>
    </row>
    <row r="174" spans="1:4" x14ac:dyDescent="0.25">
      <c r="A174" s="1" t="s">
        <v>21</v>
      </c>
      <c r="B174" s="2">
        <v>45510</v>
      </c>
      <c r="C174" s="1" t="s">
        <v>12</v>
      </c>
      <c r="D174" s="1" t="s">
        <v>18</v>
      </c>
    </row>
    <row r="175" spans="1:4" x14ac:dyDescent="0.25">
      <c r="A175" s="1" t="s">
        <v>21</v>
      </c>
      <c r="B175" s="2">
        <v>45511</v>
      </c>
      <c r="C175" s="1" t="s">
        <v>12</v>
      </c>
      <c r="D175" s="1" t="s">
        <v>18</v>
      </c>
    </row>
    <row r="176" spans="1:4" x14ac:dyDescent="0.25">
      <c r="A176" s="1" t="s">
        <v>21</v>
      </c>
      <c r="B176" s="2">
        <v>45512</v>
      </c>
      <c r="C176" s="1" t="s">
        <v>12</v>
      </c>
      <c r="D176" s="1" t="s">
        <v>18</v>
      </c>
    </row>
    <row r="177" spans="1:4" x14ac:dyDescent="0.25">
      <c r="A177" s="1" t="s">
        <v>21</v>
      </c>
      <c r="B177" s="2">
        <v>45513</v>
      </c>
      <c r="C177" s="1" t="s">
        <v>12</v>
      </c>
      <c r="D177" s="1" t="s">
        <v>18</v>
      </c>
    </row>
    <row r="178" spans="1:4" x14ac:dyDescent="0.25">
      <c r="A178" s="1" t="s">
        <v>21</v>
      </c>
      <c r="B178" s="2">
        <v>45514</v>
      </c>
      <c r="C178" s="1" t="s">
        <v>12</v>
      </c>
      <c r="D178" s="1" t="s">
        <v>18</v>
      </c>
    </row>
    <row r="179" spans="1:4" x14ac:dyDescent="0.25">
      <c r="A179" s="1" t="s">
        <v>21</v>
      </c>
      <c r="B179" s="2">
        <v>45515</v>
      </c>
      <c r="C179" s="1" t="s">
        <v>12</v>
      </c>
      <c r="D179" s="1" t="s">
        <v>18</v>
      </c>
    </row>
    <row r="180" spans="1:4" x14ac:dyDescent="0.25">
      <c r="A180" s="1" t="s">
        <v>21</v>
      </c>
      <c r="B180" s="2">
        <v>45516</v>
      </c>
      <c r="C180" s="1" t="s">
        <v>12</v>
      </c>
      <c r="D180" s="1" t="s">
        <v>19</v>
      </c>
    </row>
    <row r="181" spans="1:4" x14ac:dyDescent="0.25">
      <c r="A181" s="1" t="s">
        <v>21</v>
      </c>
      <c r="B181" s="2">
        <v>45517</v>
      </c>
      <c r="C181" s="1" t="s">
        <v>12</v>
      </c>
      <c r="D181" s="1" t="s">
        <v>20</v>
      </c>
    </row>
    <row r="182" spans="1:4" x14ac:dyDescent="0.25">
      <c r="A182" s="1" t="s">
        <v>21</v>
      </c>
      <c r="B182" s="2">
        <v>45518</v>
      </c>
      <c r="C182" s="1" t="s">
        <v>12</v>
      </c>
      <c r="D182" s="1" t="s">
        <v>20</v>
      </c>
    </row>
    <row r="183" spans="1:4" x14ac:dyDescent="0.25">
      <c r="A183" s="1" t="s">
        <v>21</v>
      </c>
      <c r="B183" s="2">
        <v>45519</v>
      </c>
      <c r="C183" s="1" t="s">
        <v>12</v>
      </c>
      <c r="D183" s="1" t="s">
        <v>20</v>
      </c>
    </row>
    <row r="184" spans="1:4" x14ac:dyDescent="0.25">
      <c r="A184" s="1" t="s">
        <v>21</v>
      </c>
      <c r="B184" s="2">
        <v>45520</v>
      </c>
      <c r="C184" s="1" t="s">
        <v>12</v>
      </c>
      <c r="D184" s="1" t="s">
        <v>20</v>
      </c>
    </row>
    <row r="185" spans="1:4" x14ac:dyDescent="0.25">
      <c r="A185" s="1" t="s">
        <v>21</v>
      </c>
      <c r="B185" s="2">
        <v>45521</v>
      </c>
      <c r="C185" s="1" t="s">
        <v>12</v>
      </c>
      <c r="D185" s="1" t="s">
        <v>20</v>
      </c>
    </row>
    <row r="186" spans="1:4" x14ac:dyDescent="0.25">
      <c r="A186" s="1" t="s">
        <v>21</v>
      </c>
      <c r="B186" s="2">
        <v>45522</v>
      </c>
      <c r="C186" s="1" t="s">
        <v>12</v>
      </c>
      <c r="D186" s="1" t="s">
        <v>20</v>
      </c>
    </row>
    <row r="187" spans="1:4" x14ac:dyDescent="0.25">
      <c r="A187" s="1" t="s">
        <v>21</v>
      </c>
      <c r="B187" s="2">
        <v>45523</v>
      </c>
      <c r="C187" s="1" t="s">
        <v>12</v>
      </c>
      <c r="D187" s="1" t="s">
        <v>19</v>
      </c>
    </row>
    <row r="188" spans="1:4" x14ac:dyDescent="0.25">
      <c r="A188" s="1" t="s">
        <v>21</v>
      </c>
      <c r="B188" s="2">
        <v>45524</v>
      </c>
      <c r="C188" s="1" t="s">
        <v>12</v>
      </c>
      <c r="D188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49E8-5E8A-44ED-B3A9-45757D6258DA}">
  <dimension ref="B2:D8"/>
  <sheetViews>
    <sheetView workbookViewId="0">
      <selection activeCell="C36" sqref="C36"/>
    </sheetView>
  </sheetViews>
  <sheetFormatPr baseColWidth="10" defaultRowHeight="12.5" x14ac:dyDescent="0.25"/>
  <cols>
    <col min="2" max="2" width="14.90625" customWidth="1"/>
  </cols>
  <sheetData>
    <row r="2" spans="2:4" ht="13" x14ac:dyDescent="0.25">
      <c r="B2" s="18" t="s">
        <v>0</v>
      </c>
      <c r="C2" s="19" t="s">
        <v>17</v>
      </c>
      <c r="D2" s="19" t="s">
        <v>21</v>
      </c>
    </row>
    <row r="3" spans="2:4" ht="13" x14ac:dyDescent="0.25">
      <c r="B3" s="18" t="s">
        <v>243</v>
      </c>
      <c r="C3" s="17">
        <v>0</v>
      </c>
      <c r="D3" s="17">
        <v>0</v>
      </c>
    </row>
    <row r="4" spans="2:4" ht="13" x14ac:dyDescent="0.25">
      <c r="B4" s="18" t="s">
        <v>244</v>
      </c>
      <c r="C4" s="17">
        <v>48</v>
      </c>
      <c r="D4" s="17">
        <v>62</v>
      </c>
    </row>
    <row r="5" spans="2:4" ht="13" x14ac:dyDescent="0.25">
      <c r="B5" s="18" t="s">
        <v>245</v>
      </c>
      <c r="C5" s="17">
        <v>0</v>
      </c>
      <c r="D5" s="17">
        <v>0</v>
      </c>
    </row>
    <row r="6" spans="2:4" ht="13" x14ac:dyDescent="0.25">
      <c r="B6" s="18" t="s">
        <v>246</v>
      </c>
      <c r="C6" s="17">
        <v>24</v>
      </c>
      <c r="D6" s="17">
        <v>30</v>
      </c>
    </row>
    <row r="7" spans="2:4" ht="13" x14ac:dyDescent="0.25">
      <c r="B7" s="18" t="s">
        <v>247</v>
      </c>
      <c r="C7" s="17">
        <v>60</v>
      </c>
      <c r="D7" s="17">
        <v>76</v>
      </c>
    </row>
    <row r="8" spans="2:4" ht="13" x14ac:dyDescent="0.25">
      <c r="B8" s="18" t="s">
        <v>248</v>
      </c>
      <c r="C8" s="17">
        <v>18</v>
      </c>
      <c r="D8" s="1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6CED-99A3-44C7-A175-F396BEE8E112}">
  <dimension ref="B2:I99"/>
  <sheetViews>
    <sheetView workbookViewId="0">
      <selection activeCell="G89" sqref="G89"/>
    </sheetView>
  </sheetViews>
  <sheetFormatPr baseColWidth="10" defaultRowHeight="12.5" x14ac:dyDescent="0.25"/>
  <cols>
    <col min="2" max="2" width="9.6328125" bestFit="1" customWidth="1"/>
    <col min="3" max="3" width="43.08984375" customWidth="1"/>
    <col min="4" max="4" width="17.6328125" customWidth="1"/>
    <col min="9" max="9" width="31.6328125" bestFit="1" customWidth="1"/>
  </cols>
  <sheetData>
    <row r="2" spans="2:9" ht="14" x14ac:dyDescent="0.3">
      <c r="B2" s="7" t="s">
        <v>43</v>
      </c>
      <c r="C2" s="9"/>
      <c r="D2" s="7"/>
      <c r="E2" s="7"/>
      <c r="H2" s="7" t="s">
        <v>43</v>
      </c>
      <c r="I2" s="15"/>
    </row>
    <row r="4" spans="2:9" ht="13" x14ac:dyDescent="0.3">
      <c r="B4" s="8" t="s">
        <v>44</v>
      </c>
      <c r="C4" s="8" t="s">
        <v>135</v>
      </c>
      <c r="D4" s="8" t="s">
        <v>231</v>
      </c>
      <c r="E4" s="11" t="s">
        <v>232</v>
      </c>
      <c r="H4" s="13" t="s">
        <v>44</v>
      </c>
      <c r="I4" s="13" t="s">
        <v>135</v>
      </c>
    </row>
    <row r="5" spans="2:9" x14ac:dyDescent="0.25">
      <c r="B5" s="1" t="s">
        <v>45</v>
      </c>
      <c r="C5" s="1" t="s">
        <v>136</v>
      </c>
      <c r="D5" s="10">
        <v>0</v>
      </c>
      <c r="E5" s="12">
        <v>0</v>
      </c>
      <c r="H5" s="14">
        <v>0</v>
      </c>
      <c r="I5" s="14" t="s">
        <v>233</v>
      </c>
    </row>
    <row r="6" spans="2:9" x14ac:dyDescent="0.25">
      <c r="B6" s="1" t="s">
        <v>46</v>
      </c>
      <c r="C6" s="1" t="s">
        <v>137</v>
      </c>
      <c r="D6" s="10">
        <v>0</v>
      </c>
      <c r="E6" s="12">
        <v>0</v>
      </c>
      <c r="H6" s="14" t="s">
        <v>15</v>
      </c>
      <c r="I6" s="14" t="s">
        <v>234</v>
      </c>
    </row>
    <row r="7" spans="2:9" x14ac:dyDescent="0.25">
      <c r="B7" s="1" t="s">
        <v>5</v>
      </c>
      <c r="C7" s="1" t="s">
        <v>138</v>
      </c>
      <c r="D7" s="10">
        <v>0</v>
      </c>
      <c r="E7" s="12">
        <v>0</v>
      </c>
      <c r="H7" s="14" t="s">
        <v>14</v>
      </c>
      <c r="I7" s="14" t="s">
        <v>235</v>
      </c>
    </row>
    <row r="8" spans="2:9" x14ac:dyDescent="0.25">
      <c r="B8" s="1" t="s">
        <v>47</v>
      </c>
      <c r="C8" s="1" t="s">
        <v>139</v>
      </c>
      <c r="D8" s="10">
        <v>0</v>
      </c>
      <c r="E8" s="12">
        <v>0</v>
      </c>
      <c r="H8" s="14" t="s">
        <v>13</v>
      </c>
      <c r="I8" s="14" t="s">
        <v>236</v>
      </c>
    </row>
    <row r="9" spans="2:9" x14ac:dyDescent="0.25">
      <c r="B9" s="1" t="s">
        <v>48</v>
      </c>
      <c r="C9" s="1" t="s">
        <v>140</v>
      </c>
      <c r="D9" s="10">
        <v>0</v>
      </c>
      <c r="E9" s="12">
        <v>0</v>
      </c>
      <c r="H9" s="14" t="s">
        <v>20</v>
      </c>
      <c r="I9" s="14" t="s">
        <v>237</v>
      </c>
    </row>
    <row r="10" spans="2:9" x14ac:dyDescent="0.25">
      <c r="B10" s="1" t="s">
        <v>49</v>
      </c>
      <c r="C10" s="1" t="s">
        <v>141</v>
      </c>
      <c r="D10" s="10">
        <v>0</v>
      </c>
      <c r="E10" s="12">
        <v>0</v>
      </c>
      <c r="H10" s="14" t="s">
        <v>19</v>
      </c>
      <c r="I10" s="14" t="s">
        <v>238</v>
      </c>
    </row>
    <row r="11" spans="2:9" x14ac:dyDescent="0.25">
      <c r="B11" s="1" t="s">
        <v>50</v>
      </c>
      <c r="C11" s="1" t="s">
        <v>142</v>
      </c>
      <c r="D11" s="10">
        <v>0</v>
      </c>
      <c r="E11" s="12">
        <v>0</v>
      </c>
      <c r="H11" s="14" t="s">
        <v>18</v>
      </c>
      <c r="I11" s="14" t="s">
        <v>239</v>
      </c>
    </row>
    <row r="12" spans="2:9" x14ac:dyDescent="0.25">
      <c r="B12" s="1" t="s">
        <v>51</v>
      </c>
      <c r="C12" s="1" t="s">
        <v>143</v>
      </c>
      <c r="D12" s="10">
        <v>0</v>
      </c>
      <c r="E12" s="12">
        <v>0</v>
      </c>
      <c r="H12" s="14" t="s">
        <v>7</v>
      </c>
      <c r="I12" s="14" t="s">
        <v>240</v>
      </c>
    </row>
    <row r="13" spans="2:9" x14ac:dyDescent="0.25">
      <c r="B13" s="1" t="s">
        <v>52</v>
      </c>
      <c r="C13" s="1" t="s">
        <v>144</v>
      </c>
      <c r="D13" s="10">
        <v>0</v>
      </c>
      <c r="E13" s="12">
        <v>0</v>
      </c>
    </row>
    <row r="14" spans="2:9" x14ac:dyDescent="0.25">
      <c r="B14" s="1" t="s">
        <v>53</v>
      </c>
      <c r="C14" s="1" t="s">
        <v>145</v>
      </c>
      <c r="D14" s="10">
        <v>0</v>
      </c>
      <c r="E14" s="12">
        <v>0</v>
      </c>
    </row>
    <row r="15" spans="2:9" x14ac:dyDescent="0.25">
      <c r="B15" s="1" t="s">
        <v>8</v>
      </c>
      <c r="C15" s="1" t="s">
        <v>146</v>
      </c>
      <c r="D15" s="10">
        <v>0</v>
      </c>
      <c r="E15" s="12">
        <v>0</v>
      </c>
    </row>
    <row r="16" spans="2:9" x14ac:dyDescent="0.25">
      <c r="B16" s="1" t="s">
        <v>10</v>
      </c>
      <c r="C16" s="1" t="s">
        <v>147</v>
      </c>
      <c r="D16" s="10">
        <v>0</v>
      </c>
      <c r="E16" s="12">
        <v>0</v>
      </c>
    </row>
    <row r="17" spans="2:5" x14ac:dyDescent="0.25">
      <c r="B17" s="1" t="s">
        <v>54</v>
      </c>
      <c r="C17" s="1" t="s">
        <v>148</v>
      </c>
      <c r="D17" s="10">
        <v>0</v>
      </c>
      <c r="E17" s="12">
        <v>0</v>
      </c>
    </row>
    <row r="18" spans="2:5" x14ac:dyDescent="0.25">
      <c r="B18" s="1" t="s">
        <v>55</v>
      </c>
      <c r="C18" s="1" t="s">
        <v>149</v>
      </c>
      <c r="D18" s="10">
        <v>0</v>
      </c>
      <c r="E18" s="12">
        <v>0</v>
      </c>
    </row>
    <row r="19" spans="2:5" x14ac:dyDescent="0.25">
      <c r="B19" s="1" t="s">
        <v>56</v>
      </c>
      <c r="C19" s="1" t="s">
        <v>150</v>
      </c>
      <c r="D19" s="10">
        <v>0</v>
      </c>
      <c r="E19" s="12">
        <v>0</v>
      </c>
    </row>
    <row r="20" spans="2:5" x14ac:dyDescent="0.25">
      <c r="B20" s="1" t="s">
        <v>57</v>
      </c>
      <c r="C20" s="1" t="s">
        <v>151</v>
      </c>
      <c r="D20" s="10">
        <v>1</v>
      </c>
      <c r="E20" s="12">
        <v>1</v>
      </c>
    </row>
    <row r="21" spans="2:5" x14ac:dyDescent="0.25">
      <c r="B21" s="1" t="s">
        <v>58</v>
      </c>
      <c r="C21" s="1" t="s">
        <v>152</v>
      </c>
      <c r="D21" s="10">
        <v>1</v>
      </c>
      <c r="E21" s="12">
        <v>1</v>
      </c>
    </row>
    <row r="22" spans="2:5" x14ac:dyDescent="0.25">
      <c r="B22" s="1" t="s">
        <v>59</v>
      </c>
      <c r="C22" s="1" t="s">
        <v>153</v>
      </c>
      <c r="D22" s="10">
        <v>1</v>
      </c>
      <c r="E22" s="12">
        <v>1</v>
      </c>
    </row>
    <row r="23" spans="2:5" x14ac:dyDescent="0.25">
      <c r="B23" s="1" t="s">
        <v>60</v>
      </c>
      <c r="C23" s="1" t="s">
        <v>154</v>
      </c>
      <c r="D23" s="10">
        <v>1</v>
      </c>
      <c r="E23" s="12">
        <v>1</v>
      </c>
    </row>
    <row r="24" spans="2:5" x14ac:dyDescent="0.25">
      <c r="B24" s="1" t="s">
        <v>61</v>
      </c>
      <c r="C24" s="1" t="s">
        <v>155</v>
      </c>
      <c r="D24" s="10">
        <v>0</v>
      </c>
      <c r="E24" s="12">
        <v>1</v>
      </c>
    </row>
    <row r="25" spans="2:5" x14ac:dyDescent="0.25">
      <c r="B25" s="1" t="s">
        <v>62</v>
      </c>
      <c r="C25" s="1" t="s">
        <v>156</v>
      </c>
      <c r="D25" s="10">
        <v>1</v>
      </c>
      <c r="E25" s="12">
        <v>1</v>
      </c>
    </row>
    <row r="26" spans="2:5" x14ac:dyDescent="0.25">
      <c r="B26" s="1" t="s">
        <v>63</v>
      </c>
      <c r="C26" s="1" t="s">
        <v>157</v>
      </c>
      <c r="D26" s="10">
        <v>0</v>
      </c>
      <c r="E26" s="12">
        <v>1</v>
      </c>
    </row>
    <row r="27" spans="2:5" x14ac:dyDescent="0.25">
      <c r="B27" s="1" t="s">
        <v>64</v>
      </c>
      <c r="C27" s="1" t="s">
        <v>158</v>
      </c>
      <c r="D27" s="10">
        <v>1</v>
      </c>
      <c r="E27" s="12">
        <v>1</v>
      </c>
    </row>
    <row r="28" spans="2:5" x14ac:dyDescent="0.25">
      <c r="B28" s="1" t="s">
        <v>65</v>
      </c>
      <c r="C28" s="1" t="s">
        <v>159</v>
      </c>
      <c r="D28" s="10">
        <v>1</v>
      </c>
      <c r="E28" s="12">
        <v>1</v>
      </c>
    </row>
    <row r="29" spans="2:5" x14ac:dyDescent="0.25">
      <c r="B29" s="1" t="s">
        <v>66</v>
      </c>
      <c r="C29" s="1" t="s">
        <v>160</v>
      </c>
      <c r="D29" s="10">
        <v>1</v>
      </c>
      <c r="E29" s="12">
        <v>1</v>
      </c>
    </row>
    <row r="30" spans="2:5" x14ac:dyDescent="0.25">
      <c r="B30" s="1" t="s">
        <v>67</v>
      </c>
      <c r="C30" s="1" t="s">
        <v>161</v>
      </c>
      <c r="D30" s="10">
        <v>0</v>
      </c>
      <c r="E30" s="12">
        <v>1</v>
      </c>
    </row>
    <row r="31" spans="2:5" x14ac:dyDescent="0.25">
      <c r="B31" s="1" t="s">
        <v>68</v>
      </c>
      <c r="C31" s="1" t="s">
        <v>162</v>
      </c>
      <c r="D31" s="10">
        <v>0</v>
      </c>
      <c r="E31" s="12">
        <v>1</v>
      </c>
    </row>
    <row r="32" spans="2:5" x14ac:dyDescent="0.25">
      <c r="B32" s="1" t="s">
        <v>69</v>
      </c>
      <c r="C32" s="1" t="s">
        <v>163</v>
      </c>
      <c r="D32" s="10">
        <v>0</v>
      </c>
      <c r="E32" s="12">
        <v>1</v>
      </c>
    </row>
    <row r="33" spans="2:5" x14ac:dyDescent="0.25">
      <c r="B33" s="1" t="s">
        <v>70</v>
      </c>
      <c r="C33" s="1" t="s">
        <v>164</v>
      </c>
      <c r="D33" s="10">
        <v>0</v>
      </c>
      <c r="E33" s="12">
        <v>1</v>
      </c>
    </row>
    <row r="34" spans="2:5" x14ac:dyDescent="0.25">
      <c r="B34" s="1" t="s">
        <v>71</v>
      </c>
      <c r="C34" s="1" t="s">
        <v>165</v>
      </c>
      <c r="D34" s="10">
        <v>0</v>
      </c>
      <c r="E34" s="12">
        <v>1</v>
      </c>
    </row>
    <row r="35" spans="2:5" x14ac:dyDescent="0.25">
      <c r="B35" s="1" t="s">
        <v>72</v>
      </c>
      <c r="C35" s="1" t="s">
        <v>166</v>
      </c>
      <c r="D35" s="10">
        <v>0</v>
      </c>
      <c r="E35" s="12">
        <v>1</v>
      </c>
    </row>
    <row r="36" spans="2:5" x14ac:dyDescent="0.25">
      <c r="B36" s="1" t="s">
        <v>73</v>
      </c>
      <c r="C36" s="1" t="s">
        <v>167</v>
      </c>
      <c r="D36" s="10">
        <v>0</v>
      </c>
      <c r="E36" s="12">
        <v>1</v>
      </c>
    </row>
    <row r="37" spans="2:5" x14ac:dyDescent="0.25">
      <c r="B37" s="1" t="s">
        <v>74</v>
      </c>
      <c r="C37" s="1" t="s">
        <v>168</v>
      </c>
      <c r="D37" s="10">
        <v>0</v>
      </c>
      <c r="E37" s="12">
        <v>1</v>
      </c>
    </row>
    <row r="38" spans="2:5" x14ac:dyDescent="0.25">
      <c r="B38" s="1" t="s">
        <v>75</v>
      </c>
      <c r="C38" s="1" t="s">
        <v>169</v>
      </c>
      <c r="D38" s="10">
        <v>0</v>
      </c>
      <c r="E38" s="12">
        <v>1</v>
      </c>
    </row>
    <row r="39" spans="2:5" x14ac:dyDescent="0.25">
      <c r="B39" s="1" t="s">
        <v>76</v>
      </c>
      <c r="C39" s="1" t="s">
        <v>170</v>
      </c>
      <c r="D39" s="10">
        <v>0</v>
      </c>
      <c r="E39" s="12">
        <v>1</v>
      </c>
    </row>
    <row r="40" spans="2:5" x14ac:dyDescent="0.25">
      <c r="B40" s="1" t="s">
        <v>77</v>
      </c>
      <c r="C40" s="1" t="s">
        <v>171</v>
      </c>
      <c r="D40" s="10">
        <v>0</v>
      </c>
      <c r="E40" s="12">
        <v>1</v>
      </c>
    </row>
    <row r="41" spans="2:5" x14ac:dyDescent="0.25">
      <c r="B41" s="1" t="s">
        <v>78</v>
      </c>
      <c r="C41" s="1" t="s">
        <v>172</v>
      </c>
      <c r="D41" s="10">
        <v>0</v>
      </c>
      <c r="E41" s="12">
        <v>1</v>
      </c>
    </row>
    <row r="42" spans="2:5" x14ac:dyDescent="0.25">
      <c r="B42" s="1" t="s">
        <v>79</v>
      </c>
      <c r="C42" s="1" t="s">
        <v>173</v>
      </c>
      <c r="D42" s="10">
        <v>0</v>
      </c>
      <c r="E42" s="12">
        <v>1</v>
      </c>
    </row>
    <row r="43" spans="2:5" x14ac:dyDescent="0.25">
      <c r="B43" s="1" t="s">
        <v>80</v>
      </c>
      <c r="C43" s="1" t="s">
        <v>174</v>
      </c>
      <c r="D43" s="10">
        <v>0</v>
      </c>
      <c r="E43" s="12">
        <v>1</v>
      </c>
    </row>
    <row r="44" spans="2:5" ht="25" x14ac:dyDescent="0.25">
      <c r="B44" s="1" t="s">
        <v>81</v>
      </c>
      <c r="C44" s="1" t="s">
        <v>175</v>
      </c>
      <c r="D44" s="10">
        <v>0</v>
      </c>
      <c r="E44" s="12">
        <v>1</v>
      </c>
    </row>
    <row r="45" spans="2:5" x14ac:dyDescent="0.25">
      <c r="B45" s="1" t="s">
        <v>82</v>
      </c>
      <c r="C45" s="1" t="s">
        <v>176</v>
      </c>
      <c r="D45" s="10">
        <v>0</v>
      </c>
      <c r="E45" s="12">
        <v>1</v>
      </c>
    </row>
    <row r="46" spans="2:5" x14ac:dyDescent="0.25">
      <c r="B46" s="1" t="s">
        <v>83</v>
      </c>
      <c r="C46" s="1" t="s">
        <v>177</v>
      </c>
      <c r="D46" s="10">
        <v>0</v>
      </c>
      <c r="E46" s="12">
        <v>1</v>
      </c>
    </row>
    <row r="47" spans="2:5" x14ac:dyDescent="0.25">
      <c r="B47" s="1" t="s">
        <v>84</v>
      </c>
      <c r="C47" s="1" t="s">
        <v>178</v>
      </c>
      <c r="D47" s="10">
        <v>0</v>
      </c>
      <c r="E47" s="12">
        <v>1</v>
      </c>
    </row>
    <row r="48" spans="2:5" x14ac:dyDescent="0.25">
      <c r="B48" s="1" t="s">
        <v>85</v>
      </c>
      <c r="C48" s="1" t="s">
        <v>179</v>
      </c>
      <c r="D48" s="10">
        <v>0</v>
      </c>
      <c r="E48" s="12">
        <v>1</v>
      </c>
    </row>
    <row r="49" spans="2:5" x14ac:dyDescent="0.25">
      <c r="B49" s="1" t="s">
        <v>86</v>
      </c>
      <c r="C49" s="1" t="s">
        <v>180</v>
      </c>
      <c r="D49" s="10">
        <v>1</v>
      </c>
      <c r="E49" s="12">
        <v>1</v>
      </c>
    </row>
    <row r="50" spans="2:5" x14ac:dyDescent="0.25">
      <c r="B50" s="1" t="s">
        <v>87</v>
      </c>
      <c r="C50" s="1" t="s">
        <v>181</v>
      </c>
      <c r="D50" s="10">
        <v>1</v>
      </c>
      <c r="E50" s="12">
        <v>1</v>
      </c>
    </row>
    <row r="51" spans="2:5" x14ac:dyDescent="0.25">
      <c r="B51" s="1" t="s">
        <v>88</v>
      </c>
      <c r="C51" s="1" t="s">
        <v>182</v>
      </c>
      <c r="D51" s="10">
        <v>1</v>
      </c>
      <c r="E51" s="12">
        <v>1</v>
      </c>
    </row>
    <row r="52" spans="2:5" x14ac:dyDescent="0.25">
      <c r="B52" s="1" t="s">
        <v>89</v>
      </c>
      <c r="C52" s="1" t="s">
        <v>183</v>
      </c>
      <c r="D52" s="10">
        <v>0</v>
      </c>
      <c r="E52" s="12">
        <v>1</v>
      </c>
    </row>
    <row r="53" spans="2:5" x14ac:dyDescent="0.25">
      <c r="B53" s="1" t="s">
        <v>90</v>
      </c>
      <c r="C53" s="1" t="s">
        <v>184</v>
      </c>
      <c r="D53" s="10">
        <v>1</v>
      </c>
      <c r="E53" s="12">
        <v>1</v>
      </c>
    </row>
    <row r="54" spans="2:5" x14ac:dyDescent="0.25">
      <c r="B54" s="1" t="s">
        <v>91</v>
      </c>
      <c r="C54" s="1" t="s">
        <v>185</v>
      </c>
      <c r="D54" s="10">
        <v>1</v>
      </c>
      <c r="E54" s="12">
        <v>1</v>
      </c>
    </row>
    <row r="55" spans="2:5" x14ac:dyDescent="0.25">
      <c r="B55" s="1" t="s">
        <v>92</v>
      </c>
      <c r="C55" s="1" t="s">
        <v>186</v>
      </c>
      <c r="D55" s="10">
        <v>0</v>
      </c>
      <c r="E55" s="12">
        <v>1</v>
      </c>
    </row>
    <row r="56" spans="2:5" x14ac:dyDescent="0.25">
      <c r="B56" s="1" t="s">
        <v>93</v>
      </c>
      <c r="C56" s="1" t="s">
        <v>187</v>
      </c>
      <c r="D56" s="10">
        <v>0</v>
      </c>
      <c r="E56" s="12">
        <v>1</v>
      </c>
    </row>
    <row r="57" spans="2:5" x14ac:dyDescent="0.25">
      <c r="B57" s="1" t="s">
        <v>94</v>
      </c>
      <c r="C57" s="1" t="s">
        <v>188</v>
      </c>
      <c r="D57" s="10">
        <v>0</v>
      </c>
      <c r="E57" s="12">
        <v>1</v>
      </c>
    </row>
    <row r="58" spans="2:5" x14ac:dyDescent="0.25">
      <c r="B58" s="1" t="s">
        <v>95</v>
      </c>
      <c r="C58" s="1" t="s">
        <v>189</v>
      </c>
      <c r="D58" s="10">
        <v>1</v>
      </c>
      <c r="E58" s="12">
        <v>1</v>
      </c>
    </row>
    <row r="59" spans="2:5" x14ac:dyDescent="0.25">
      <c r="B59" s="1" t="s">
        <v>96</v>
      </c>
      <c r="C59" s="1" t="s">
        <v>190</v>
      </c>
      <c r="D59" s="10">
        <v>1</v>
      </c>
      <c r="E59" s="12">
        <v>1</v>
      </c>
    </row>
    <row r="60" spans="2:5" x14ac:dyDescent="0.25">
      <c r="B60" s="1" t="s">
        <v>97</v>
      </c>
      <c r="C60" s="1" t="s">
        <v>191</v>
      </c>
      <c r="D60" s="10">
        <v>1</v>
      </c>
      <c r="E60" s="12">
        <v>1</v>
      </c>
    </row>
    <row r="61" spans="2:5" x14ac:dyDescent="0.25">
      <c r="B61" s="1" t="s">
        <v>98</v>
      </c>
      <c r="C61" s="1" t="s">
        <v>192</v>
      </c>
      <c r="D61" s="10">
        <v>1</v>
      </c>
      <c r="E61" s="12">
        <v>1</v>
      </c>
    </row>
    <row r="62" spans="2:5" x14ac:dyDescent="0.25">
      <c r="B62" s="1" t="s">
        <v>99</v>
      </c>
      <c r="C62" s="1" t="s">
        <v>193</v>
      </c>
      <c r="D62" s="10">
        <v>1</v>
      </c>
      <c r="E62" s="12">
        <v>1</v>
      </c>
    </row>
    <row r="63" spans="2:5" x14ac:dyDescent="0.25">
      <c r="B63" s="1" t="s">
        <v>100</v>
      </c>
      <c r="C63" s="1" t="s">
        <v>194</v>
      </c>
      <c r="D63" s="10">
        <v>0</v>
      </c>
      <c r="E63" s="12">
        <v>1</v>
      </c>
    </row>
    <row r="64" spans="2:5" x14ac:dyDescent="0.25">
      <c r="B64" s="1" t="s">
        <v>101</v>
      </c>
      <c r="C64" s="1" t="s">
        <v>195</v>
      </c>
      <c r="D64" s="10">
        <v>0</v>
      </c>
      <c r="E64" s="12">
        <v>1</v>
      </c>
    </row>
    <row r="65" spans="2:5" x14ac:dyDescent="0.25">
      <c r="B65" s="1" t="s">
        <v>102</v>
      </c>
      <c r="C65" s="1" t="s">
        <v>196</v>
      </c>
      <c r="D65" s="10">
        <v>0</v>
      </c>
      <c r="E65" s="12">
        <v>1</v>
      </c>
    </row>
    <row r="66" spans="2:5" x14ac:dyDescent="0.25">
      <c r="B66" s="1" t="s">
        <v>103</v>
      </c>
      <c r="C66" s="1" t="s">
        <v>197</v>
      </c>
      <c r="D66" s="10">
        <v>1</v>
      </c>
      <c r="E66" s="12">
        <v>1</v>
      </c>
    </row>
    <row r="67" spans="2:5" x14ac:dyDescent="0.25">
      <c r="B67" s="1" t="s">
        <v>104</v>
      </c>
      <c r="C67" s="1" t="s">
        <v>198</v>
      </c>
      <c r="D67" s="10">
        <v>1</v>
      </c>
      <c r="E67" s="12">
        <v>1</v>
      </c>
    </row>
    <row r="68" spans="2:5" x14ac:dyDescent="0.25">
      <c r="B68" s="1" t="s">
        <v>105</v>
      </c>
      <c r="C68" s="1" t="s">
        <v>199</v>
      </c>
      <c r="D68" s="10">
        <v>0</v>
      </c>
      <c r="E68" s="12">
        <v>1</v>
      </c>
    </row>
    <row r="69" spans="2:5" x14ac:dyDescent="0.25">
      <c r="B69" s="1" t="s">
        <v>106</v>
      </c>
      <c r="C69" s="1" t="s">
        <v>200</v>
      </c>
      <c r="D69" s="10">
        <v>0</v>
      </c>
      <c r="E69" s="12">
        <v>1</v>
      </c>
    </row>
    <row r="70" spans="2:5" x14ac:dyDescent="0.25">
      <c r="B70" s="1" t="s">
        <v>107</v>
      </c>
      <c r="C70" s="1" t="s">
        <v>201</v>
      </c>
      <c r="D70" s="10">
        <v>0</v>
      </c>
      <c r="E70" s="12">
        <v>1</v>
      </c>
    </row>
    <row r="71" spans="2:5" x14ac:dyDescent="0.25">
      <c r="B71" s="1" t="s">
        <v>108</v>
      </c>
      <c r="C71" s="1" t="s">
        <v>202</v>
      </c>
      <c r="D71" s="10">
        <v>0</v>
      </c>
      <c r="E71" s="12">
        <v>1</v>
      </c>
    </row>
    <row r="72" spans="2:5" x14ac:dyDescent="0.25">
      <c r="B72" s="1" t="s">
        <v>109</v>
      </c>
      <c r="C72" s="1" t="s">
        <v>203</v>
      </c>
      <c r="D72" s="10">
        <v>0</v>
      </c>
      <c r="E72" s="12">
        <v>1</v>
      </c>
    </row>
    <row r="73" spans="2:5" x14ac:dyDescent="0.25">
      <c r="B73" s="1" t="s">
        <v>110</v>
      </c>
      <c r="C73" s="1" t="s">
        <v>204</v>
      </c>
      <c r="D73" s="10">
        <v>0</v>
      </c>
      <c r="E73" s="12">
        <v>1</v>
      </c>
    </row>
    <row r="74" spans="2:5" x14ac:dyDescent="0.25">
      <c r="B74" s="1" t="s">
        <v>111</v>
      </c>
      <c r="C74" s="1" t="s">
        <v>205</v>
      </c>
      <c r="D74" s="10">
        <v>0</v>
      </c>
      <c r="E74" s="12">
        <v>1</v>
      </c>
    </row>
    <row r="75" spans="2:5" x14ac:dyDescent="0.25">
      <c r="B75" s="1" t="s">
        <v>112</v>
      </c>
      <c r="C75" s="1" t="s">
        <v>206</v>
      </c>
      <c r="D75" s="10">
        <v>1</v>
      </c>
      <c r="E75" s="12">
        <v>1</v>
      </c>
    </row>
    <row r="76" spans="2:5" x14ac:dyDescent="0.25">
      <c r="B76" s="1" t="s">
        <v>113</v>
      </c>
      <c r="C76" s="1" t="s">
        <v>207</v>
      </c>
      <c r="D76" s="10">
        <v>0</v>
      </c>
      <c r="E76" s="12">
        <v>1</v>
      </c>
    </row>
    <row r="77" spans="2:5" x14ac:dyDescent="0.25">
      <c r="B77" s="1" t="s">
        <v>114</v>
      </c>
      <c r="C77" s="1" t="s">
        <v>208</v>
      </c>
      <c r="D77" s="10">
        <v>1</v>
      </c>
      <c r="E77" s="12">
        <v>1</v>
      </c>
    </row>
    <row r="78" spans="2:5" x14ac:dyDescent="0.25">
      <c r="B78" s="1" t="s">
        <v>115</v>
      </c>
      <c r="C78" s="1" t="s">
        <v>209</v>
      </c>
      <c r="D78" s="10">
        <v>0</v>
      </c>
      <c r="E78" s="12">
        <v>1</v>
      </c>
    </row>
    <row r="79" spans="2:5" x14ac:dyDescent="0.25">
      <c r="B79" s="1" t="s">
        <v>116</v>
      </c>
      <c r="C79" s="1" t="s">
        <v>210</v>
      </c>
      <c r="D79" s="10">
        <v>0</v>
      </c>
      <c r="E79" s="12">
        <v>1</v>
      </c>
    </row>
    <row r="80" spans="2:5" x14ac:dyDescent="0.25">
      <c r="B80" s="1" t="s">
        <v>117</v>
      </c>
      <c r="C80" s="1" t="s">
        <v>211</v>
      </c>
      <c r="D80" s="10">
        <v>0</v>
      </c>
      <c r="E80" s="12">
        <v>1</v>
      </c>
    </row>
    <row r="81" spans="2:5" x14ac:dyDescent="0.25">
      <c r="B81" s="1" t="s">
        <v>118</v>
      </c>
      <c r="C81" s="1" t="s">
        <v>212</v>
      </c>
      <c r="D81" s="10">
        <v>0</v>
      </c>
      <c r="E81" s="12">
        <v>1</v>
      </c>
    </row>
    <row r="82" spans="2:5" x14ac:dyDescent="0.25">
      <c r="B82" s="1" t="s">
        <v>119</v>
      </c>
      <c r="C82" s="1" t="s">
        <v>213</v>
      </c>
      <c r="D82" s="10">
        <v>0</v>
      </c>
      <c r="E82" s="12">
        <v>1</v>
      </c>
    </row>
    <row r="83" spans="2:5" x14ac:dyDescent="0.25">
      <c r="B83" s="1" t="s">
        <v>120</v>
      </c>
      <c r="C83" s="1" t="s">
        <v>214</v>
      </c>
      <c r="D83" s="10">
        <v>0</v>
      </c>
      <c r="E83" s="12">
        <v>1</v>
      </c>
    </row>
    <row r="84" spans="2:5" x14ac:dyDescent="0.25">
      <c r="B84" s="1" t="s">
        <v>121</v>
      </c>
      <c r="C84" s="1" t="s">
        <v>215</v>
      </c>
      <c r="D84" s="10">
        <v>0</v>
      </c>
      <c r="E84" s="12">
        <v>1</v>
      </c>
    </row>
    <row r="85" spans="2:5" x14ac:dyDescent="0.25">
      <c r="B85" s="1" t="s">
        <v>122</v>
      </c>
      <c r="C85" s="1" t="s">
        <v>216</v>
      </c>
      <c r="D85" s="10">
        <v>0</v>
      </c>
      <c r="E85" s="12">
        <v>1</v>
      </c>
    </row>
    <row r="86" spans="2:5" x14ac:dyDescent="0.25">
      <c r="B86" s="1" t="s">
        <v>123</v>
      </c>
      <c r="C86" s="1" t="s">
        <v>217</v>
      </c>
      <c r="D86" s="10">
        <v>0</v>
      </c>
      <c r="E86" s="12">
        <v>1</v>
      </c>
    </row>
    <row r="87" spans="2:5" x14ac:dyDescent="0.25">
      <c r="B87" s="1" t="s">
        <v>124</v>
      </c>
      <c r="C87" s="1" t="s">
        <v>218</v>
      </c>
      <c r="D87" s="10">
        <v>0</v>
      </c>
      <c r="E87" s="12">
        <v>1</v>
      </c>
    </row>
    <row r="88" spans="2:5" x14ac:dyDescent="0.25">
      <c r="B88" s="1" t="s">
        <v>125</v>
      </c>
      <c r="C88" s="1" t="s">
        <v>219</v>
      </c>
      <c r="D88" s="10">
        <v>0</v>
      </c>
      <c r="E88" s="12">
        <v>1</v>
      </c>
    </row>
    <row r="89" spans="2:5" x14ac:dyDescent="0.25">
      <c r="B89" s="1" t="s">
        <v>126</v>
      </c>
      <c r="C89" s="1" t="s">
        <v>220</v>
      </c>
      <c r="D89" s="10">
        <v>0</v>
      </c>
      <c r="E89" s="12">
        <v>1</v>
      </c>
    </row>
    <row r="90" spans="2:5" x14ac:dyDescent="0.25">
      <c r="B90" s="1" t="s">
        <v>127</v>
      </c>
      <c r="C90" s="1" t="s">
        <v>221</v>
      </c>
      <c r="D90" s="10">
        <v>0</v>
      </c>
      <c r="E90" s="12">
        <v>1</v>
      </c>
    </row>
    <row r="91" spans="2:5" x14ac:dyDescent="0.25">
      <c r="B91" s="1" t="s">
        <v>128</v>
      </c>
      <c r="C91" s="1" t="s">
        <v>222</v>
      </c>
      <c r="D91" s="10">
        <v>0</v>
      </c>
      <c r="E91" s="12">
        <v>1</v>
      </c>
    </row>
    <row r="92" spans="2:5" x14ac:dyDescent="0.25">
      <c r="B92" s="1" t="s">
        <v>129</v>
      </c>
      <c r="C92" s="1" t="s">
        <v>223</v>
      </c>
      <c r="D92" s="10">
        <v>0</v>
      </c>
      <c r="E92" s="12">
        <v>1</v>
      </c>
    </row>
    <row r="93" spans="2:5" x14ac:dyDescent="0.25">
      <c r="B93" s="1" t="s">
        <v>130</v>
      </c>
      <c r="C93" s="1" t="s">
        <v>224</v>
      </c>
      <c r="D93" s="10">
        <v>0</v>
      </c>
      <c r="E93" s="12">
        <v>1</v>
      </c>
    </row>
    <row r="94" spans="2:5" x14ac:dyDescent="0.25">
      <c r="B94" s="1" t="s">
        <v>131</v>
      </c>
      <c r="C94" s="1" t="s">
        <v>225</v>
      </c>
      <c r="D94" s="10">
        <v>0</v>
      </c>
      <c r="E94" s="12">
        <v>1</v>
      </c>
    </row>
    <row r="95" spans="2:5" x14ac:dyDescent="0.25">
      <c r="B95" s="1" t="s">
        <v>132</v>
      </c>
      <c r="C95" s="1" t="s">
        <v>226</v>
      </c>
      <c r="D95" s="10">
        <v>0</v>
      </c>
      <c r="E95" s="12">
        <v>1</v>
      </c>
    </row>
    <row r="96" spans="2:5" x14ac:dyDescent="0.25">
      <c r="B96" s="1" t="s">
        <v>133</v>
      </c>
      <c r="C96" s="1" t="s">
        <v>227</v>
      </c>
      <c r="D96" s="10">
        <v>0</v>
      </c>
      <c r="E96" s="12">
        <v>1</v>
      </c>
    </row>
    <row r="97" spans="2:5" x14ac:dyDescent="0.25">
      <c r="B97" s="1" t="s">
        <v>134</v>
      </c>
      <c r="C97" s="1" t="s">
        <v>228</v>
      </c>
      <c r="D97" s="10">
        <v>0</v>
      </c>
      <c r="E97" s="12">
        <v>1</v>
      </c>
    </row>
    <row r="98" spans="2:5" x14ac:dyDescent="0.25">
      <c r="B98" s="1" t="s">
        <v>6</v>
      </c>
      <c r="C98" s="1" t="s">
        <v>229</v>
      </c>
      <c r="D98" s="10">
        <v>0</v>
      </c>
      <c r="E98" s="12">
        <v>1</v>
      </c>
    </row>
    <row r="99" spans="2:5" x14ac:dyDescent="0.25">
      <c r="B99" s="1" t="s">
        <v>12</v>
      </c>
      <c r="C99" s="1" t="s">
        <v>230</v>
      </c>
      <c r="D99" s="10">
        <v>0</v>
      </c>
      <c r="E99" s="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212B-4550-47E9-A73D-82D0E9E5001E}">
  <dimension ref="B2:V66"/>
  <sheetViews>
    <sheetView topLeftCell="A28" zoomScaleNormal="100" workbookViewId="0">
      <selection activeCell="C41" sqref="C41:G47"/>
    </sheetView>
  </sheetViews>
  <sheetFormatPr baseColWidth="10" defaultRowHeight="12.5" x14ac:dyDescent="0.25"/>
  <cols>
    <col min="4" max="4" width="11" customWidth="1"/>
    <col min="5" max="5" width="6.08984375" customWidth="1"/>
    <col min="6" max="6" width="5.453125" bestFit="1" customWidth="1"/>
    <col min="7" max="7" width="5.90625" bestFit="1" customWidth="1"/>
  </cols>
  <sheetData>
    <row r="2" spans="2:22" x14ac:dyDescent="0.25">
      <c r="B2" s="12" t="s">
        <v>0</v>
      </c>
      <c r="C2" s="1" t="s">
        <v>17</v>
      </c>
    </row>
    <row r="4" spans="2:22" x14ac:dyDescent="0.25">
      <c r="C4" s="12" t="s">
        <v>249</v>
      </c>
      <c r="D4" s="12" t="s">
        <v>250</v>
      </c>
      <c r="E4" s="1" t="s">
        <v>251</v>
      </c>
      <c r="F4" s="25" t="s">
        <v>273</v>
      </c>
      <c r="G4" s="25" t="s">
        <v>258</v>
      </c>
      <c r="J4" s="12" t="s">
        <v>252</v>
      </c>
      <c r="K4" s="12" t="s">
        <v>253</v>
      </c>
      <c r="S4" t="s">
        <v>251</v>
      </c>
      <c r="T4" t="s">
        <v>252</v>
      </c>
      <c r="U4" t="s">
        <v>253</v>
      </c>
      <c r="V4" s="24" t="s">
        <v>257</v>
      </c>
    </row>
    <row r="5" spans="2:22" x14ac:dyDescent="0.25">
      <c r="C5" s="23" t="str">
        <f t="shared" ref="C5:C35" si="0">TEXT(D5,"jjjj")</f>
        <v>dimanche</v>
      </c>
      <c r="D5" s="2">
        <v>45494</v>
      </c>
      <c r="E5" s="1">
        <v>998</v>
      </c>
      <c r="F5" s="25">
        <v>12</v>
      </c>
      <c r="G5" s="25">
        <f>IF(F5-IF(C5="samedi",5,8)&lt;0,0,F5-IF(C5="samedi",5,8))</f>
        <v>4</v>
      </c>
      <c r="J5" s="22" t="s">
        <v>254</v>
      </c>
      <c r="K5" s="12">
        <v>12</v>
      </c>
      <c r="O5" s="1" t="s">
        <v>21</v>
      </c>
      <c r="P5" s="2">
        <v>45494</v>
      </c>
      <c r="Q5" s="23" t="str">
        <f>TEXT(P5,"jjjj")</f>
        <v>dimanche</v>
      </c>
      <c r="R5" s="1" t="s">
        <v>12</v>
      </c>
      <c r="S5" s="1" t="s">
        <v>20</v>
      </c>
      <c r="T5" s="21"/>
    </row>
    <row r="6" spans="2:22" x14ac:dyDescent="0.25">
      <c r="C6" s="1" t="str">
        <f t="shared" si="0"/>
        <v>lundi</v>
      </c>
      <c r="D6" s="2">
        <v>45495</v>
      </c>
      <c r="E6" s="1">
        <v>997</v>
      </c>
      <c r="F6" s="25">
        <v>18</v>
      </c>
      <c r="G6" s="25">
        <f t="shared" ref="G6:G35" si="1">IF(F6-IF(C6="samedi",5,8)&lt;0,0,F6-IF(C6="samedi",5,8))</f>
        <v>10</v>
      </c>
      <c r="J6" s="22" t="s">
        <v>256</v>
      </c>
      <c r="K6" s="12">
        <v>18</v>
      </c>
      <c r="O6" s="1" t="s">
        <v>21</v>
      </c>
      <c r="P6" s="2">
        <v>45495</v>
      </c>
      <c r="Q6" s="1" t="str">
        <f t="shared" ref="Q6:Q35" si="2">TEXT(P6,"jjjj")</f>
        <v>lundi</v>
      </c>
      <c r="R6" s="1" t="s">
        <v>12</v>
      </c>
      <c r="S6" s="1" t="s">
        <v>19</v>
      </c>
      <c r="T6" s="21"/>
    </row>
    <row r="7" spans="2:22" x14ac:dyDescent="0.25">
      <c r="C7" s="1" t="str">
        <f t="shared" si="0"/>
        <v>mardi</v>
      </c>
      <c r="D7" s="2">
        <v>45496</v>
      </c>
      <c r="E7" s="1">
        <v>12</v>
      </c>
      <c r="F7" s="25">
        <v>0</v>
      </c>
      <c r="G7" s="25">
        <f t="shared" si="1"/>
        <v>0</v>
      </c>
      <c r="J7" s="22"/>
      <c r="K7" s="12"/>
      <c r="O7" s="1" t="s">
        <v>21</v>
      </c>
      <c r="P7" s="2">
        <v>45496</v>
      </c>
      <c r="Q7" s="1" t="str">
        <f t="shared" si="2"/>
        <v>mardi</v>
      </c>
      <c r="R7" s="1" t="s">
        <v>12</v>
      </c>
      <c r="S7" s="1" t="s">
        <v>18</v>
      </c>
      <c r="T7" s="21"/>
    </row>
    <row r="8" spans="2:22" x14ac:dyDescent="0.25">
      <c r="C8" s="1" t="str">
        <f t="shared" si="0"/>
        <v>mercredi</v>
      </c>
      <c r="D8" s="2">
        <v>45497</v>
      </c>
      <c r="E8" s="1">
        <v>996</v>
      </c>
      <c r="F8" s="25">
        <v>12</v>
      </c>
      <c r="G8" s="25">
        <f t="shared" si="1"/>
        <v>4</v>
      </c>
      <c r="J8" s="22" t="s">
        <v>255</v>
      </c>
      <c r="K8" s="12">
        <v>12</v>
      </c>
      <c r="O8" s="1" t="s">
        <v>21</v>
      </c>
      <c r="P8" s="2">
        <v>45497</v>
      </c>
      <c r="Q8" s="1" t="str">
        <f t="shared" si="2"/>
        <v>mercredi</v>
      </c>
      <c r="R8" s="1" t="s">
        <v>12</v>
      </c>
      <c r="S8" s="1" t="s">
        <v>18</v>
      </c>
      <c r="T8" s="21"/>
    </row>
    <row r="9" spans="2:22" x14ac:dyDescent="0.25">
      <c r="C9" s="1" t="str">
        <f t="shared" si="0"/>
        <v>jeudi</v>
      </c>
      <c r="D9" s="2">
        <v>45498</v>
      </c>
      <c r="E9" s="1">
        <v>996</v>
      </c>
      <c r="F9" s="25">
        <v>12</v>
      </c>
      <c r="G9" s="25">
        <f t="shared" si="1"/>
        <v>4</v>
      </c>
      <c r="J9" s="22" t="s">
        <v>255</v>
      </c>
      <c r="K9" s="12">
        <v>12</v>
      </c>
      <c r="O9" s="1" t="s">
        <v>21</v>
      </c>
      <c r="P9" s="2">
        <v>45498</v>
      </c>
      <c r="Q9" s="1" t="str">
        <f t="shared" si="2"/>
        <v>jeudi</v>
      </c>
      <c r="R9" s="1" t="s">
        <v>12</v>
      </c>
      <c r="S9" s="1" t="s">
        <v>18</v>
      </c>
      <c r="T9" s="21"/>
    </row>
    <row r="10" spans="2:22" x14ac:dyDescent="0.25">
      <c r="C10" s="1" t="str">
        <f t="shared" si="0"/>
        <v>vendredi</v>
      </c>
      <c r="D10" s="2">
        <v>45499</v>
      </c>
      <c r="E10" s="1">
        <v>996</v>
      </c>
      <c r="F10" s="25">
        <v>12</v>
      </c>
      <c r="G10" s="25">
        <f t="shared" si="1"/>
        <v>4</v>
      </c>
      <c r="J10" s="22" t="s">
        <v>255</v>
      </c>
      <c r="K10" s="12">
        <v>12</v>
      </c>
      <c r="O10" s="1" t="s">
        <v>21</v>
      </c>
      <c r="P10" s="2">
        <v>45499</v>
      </c>
      <c r="Q10" s="1" t="str">
        <f t="shared" si="2"/>
        <v>vendredi</v>
      </c>
      <c r="R10" s="1" t="s">
        <v>12</v>
      </c>
      <c r="S10" s="1" t="s">
        <v>18</v>
      </c>
      <c r="T10" s="21"/>
    </row>
    <row r="11" spans="2:22" x14ac:dyDescent="0.25">
      <c r="C11" s="1" t="str">
        <f t="shared" si="0"/>
        <v>samedi</v>
      </c>
      <c r="D11" s="2">
        <v>45500</v>
      </c>
      <c r="E11" s="1">
        <v>996</v>
      </c>
      <c r="F11" s="25">
        <v>12</v>
      </c>
      <c r="G11" s="25">
        <f t="shared" si="1"/>
        <v>7</v>
      </c>
      <c r="J11" s="22" t="s">
        <v>255</v>
      </c>
      <c r="K11" s="12">
        <v>12</v>
      </c>
      <c r="O11" s="1" t="s">
        <v>21</v>
      </c>
      <c r="P11" s="2">
        <v>45500</v>
      </c>
      <c r="Q11" s="1" t="str">
        <f t="shared" si="2"/>
        <v>samedi</v>
      </c>
      <c r="R11" s="1" t="s">
        <v>12</v>
      </c>
      <c r="S11" s="1" t="s">
        <v>18</v>
      </c>
      <c r="T11" s="21"/>
    </row>
    <row r="12" spans="2:22" x14ac:dyDescent="0.25">
      <c r="C12" s="23" t="str">
        <f t="shared" si="0"/>
        <v>dimanche</v>
      </c>
      <c r="D12" s="2">
        <v>45501</v>
      </c>
      <c r="E12" s="1">
        <v>996</v>
      </c>
      <c r="F12" s="25">
        <v>12</v>
      </c>
      <c r="G12" s="25">
        <f t="shared" si="1"/>
        <v>4</v>
      </c>
      <c r="J12" s="22" t="s">
        <v>255</v>
      </c>
      <c r="K12" s="12">
        <v>12</v>
      </c>
      <c r="O12" s="1" t="s">
        <v>21</v>
      </c>
      <c r="P12" s="2">
        <v>45501</v>
      </c>
      <c r="Q12" s="23" t="str">
        <f t="shared" si="2"/>
        <v>dimanche</v>
      </c>
      <c r="R12" s="1" t="s">
        <v>12</v>
      </c>
      <c r="S12" s="1" t="s">
        <v>18</v>
      </c>
      <c r="T12" s="21"/>
    </row>
    <row r="13" spans="2:22" x14ac:dyDescent="0.25">
      <c r="C13" s="1" t="str">
        <f t="shared" si="0"/>
        <v>lundi</v>
      </c>
      <c r="D13" s="2">
        <v>45502</v>
      </c>
      <c r="E13" s="1">
        <v>997</v>
      </c>
      <c r="F13" s="25">
        <v>18</v>
      </c>
      <c r="G13" s="25">
        <f t="shared" si="1"/>
        <v>10</v>
      </c>
      <c r="J13" s="22" t="s">
        <v>256</v>
      </c>
      <c r="K13" s="12">
        <v>18</v>
      </c>
      <c r="O13" s="1" t="s">
        <v>21</v>
      </c>
      <c r="P13" s="2">
        <v>45502</v>
      </c>
      <c r="Q13" s="1" t="str">
        <f t="shared" si="2"/>
        <v>lundi</v>
      </c>
      <c r="R13" s="1" t="s">
        <v>12</v>
      </c>
      <c r="S13" s="1" t="s">
        <v>19</v>
      </c>
      <c r="T13" s="21"/>
    </row>
    <row r="14" spans="2:22" x14ac:dyDescent="0.25">
      <c r="C14" s="1" t="str">
        <f t="shared" si="0"/>
        <v>mardi</v>
      </c>
      <c r="D14" s="2">
        <v>45503</v>
      </c>
      <c r="E14" s="1">
        <v>998</v>
      </c>
      <c r="F14" s="25">
        <v>12</v>
      </c>
      <c r="G14" s="25">
        <f t="shared" si="1"/>
        <v>4</v>
      </c>
      <c r="J14" s="22" t="s">
        <v>254</v>
      </c>
      <c r="K14" s="12">
        <v>12</v>
      </c>
      <c r="O14" s="1" t="s">
        <v>21</v>
      </c>
      <c r="P14" s="2">
        <v>45503</v>
      </c>
      <c r="Q14" s="1" t="str">
        <f t="shared" si="2"/>
        <v>mardi</v>
      </c>
      <c r="R14" s="1" t="s">
        <v>12</v>
      </c>
      <c r="S14" s="1" t="s">
        <v>20</v>
      </c>
      <c r="T14" s="21"/>
    </row>
    <row r="15" spans="2:22" x14ac:dyDescent="0.25">
      <c r="C15" s="1" t="str">
        <f t="shared" si="0"/>
        <v>mercredi</v>
      </c>
      <c r="D15" s="2">
        <v>45504</v>
      </c>
      <c r="E15" s="1">
        <v>998</v>
      </c>
      <c r="F15" s="25">
        <v>12</v>
      </c>
      <c r="G15" s="25">
        <f t="shared" si="1"/>
        <v>4</v>
      </c>
      <c r="J15" s="22" t="s">
        <v>254</v>
      </c>
      <c r="K15" s="12">
        <v>12</v>
      </c>
      <c r="O15" s="1" t="s">
        <v>21</v>
      </c>
      <c r="P15" s="2">
        <v>45504</v>
      </c>
      <c r="Q15" s="1" t="str">
        <f t="shared" si="2"/>
        <v>mercredi</v>
      </c>
      <c r="R15" s="1" t="s">
        <v>12</v>
      </c>
      <c r="S15" s="1" t="s">
        <v>20</v>
      </c>
      <c r="T15" s="21"/>
    </row>
    <row r="16" spans="2:22" x14ac:dyDescent="0.25">
      <c r="C16" s="23" t="str">
        <f t="shared" si="0"/>
        <v>jeudi</v>
      </c>
      <c r="D16" s="2">
        <v>45505</v>
      </c>
      <c r="E16" s="1">
        <v>998</v>
      </c>
      <c r="F16" s="25">
        <v>12</v>
      </c>
      <c r="G16" s="25">
        <f t="shared" si="1"/>
        <v>4</v>
      </c>
      <c r="J16" s="22" t="s">
        <v>254</v>
      </c>
      <c r="K16" s="12">
        <v>12</v>
      </c>
      <c r="O16" s="1" t="s">
        <v>21</v>
      </c>
      <c r="P16" s="2">
        <v>45505</v>
      </c>
      <c r="Q16" s="23" t="str">
        <f t="shared" si="2"/>
        <v>jeudi</v>
      </c>
      <c r="R16" s="1" t="s">
        <v>12</v>
      </c>
      <c r="S16" s="1" t="s">
        <v>20</v>
      </c>
      <c r="T16" s="21"/>
    </row>
    <row r="17" spans="3:20" x14ac:dyDescent="0.25">
      <c r="C17" s="1" t="str">
        <f t="shared" si="0"/>
        <v>vendredi</v>
      </c>
      <c r="D17" s="2">
        <v>45506</v>
      </c>
      <c r="E17" s="1">
        <v>998</v>
      </c>
      <c r="F17" s="25">
        <v>12</v>
      </c>
      <c r="G17" s="25">
        <f t="shared" si="1"/>
        <v>4</v>
      </c>
      <c r="J17" s="22" t="s">
        <v>254</v>
      </c>
      <c r="K17" s="12">
        <v>12</v>
      </c>
      <c r="O17" s="1" t="s">
        <v>21</v>
      </c>
      <c r="P17" s="2">
        <v>45506</v>
      </c>
      <c r="Q17" s="1" t="str">
        <f t="shared" si="2"/>
        <v>vendredi</v>
      </c>
      <c r="R17" s="1" t="s">
        <v>10</v>
      </c>
      <c r="S17" s="1"/>
      <c r="T17" s="21"/>
    </row>
    <row r="18" spans="3:20" x14ac:dyDescent="0.25">
      <c r="C18" s="1" t="str">
        <f t="shared" si="0"/>
        <v>samedi</v>
      </c>
      <c r="D18" s="2">
        <v>45507</v>
      </c>
      <c r="E18" s="1">
        <v>998</v>
      </c>
      <c r="F18" s="25">
        <v>12</v>
      </c>
      <c r="G18" s="25">
        <f t="shared" si="1"/>
        <v>7</v>
      </c>
      <c r="J18" s="22" t="s">
        <v>254</v>
      </c>
      <c r="K18" s="12">
        <v>12</v>
      </c>
      <c r="O18" s="1" t="s">
        <v>21</v>
      </c>
      <c r="P18" s="2">
        <v>45507</v>
      </c>
      <c r="Q18" s="1" t="str">
        <f t="shared" si="2"/>
        <v>samedi</v>
      </c>
      <c r="R18" s="1" t="s">
        <v>12</v>
      </c>
      <c r="S18" s="1" t="s">
        <v>20</v>
      </c>
      <c r="T18" s="21"/>
    </row>
    <row r="19" spans="3:20" x14ac:dyDescent="0.25">
      <c r="C19" s="23" t="str">
        <f t="shared" si="0"/>
        <v>dimanche</v>
      </c>
      <c r="D19" s="2">
        <v>45508</v>
      </c>
      <c r="E19" s="1">
        <v>998</v>
      </c>
      <c r="F19" s="25">
        <v>12</v>
      </c>
      <c r="G19" s="25">
        <f t="shared" si="1"/>
        <v>4</v>
      </c>
      <c r="J19" s="22" t="s">
        <v>254</v>
      </c>
      <c r="K19" s="12">
        <v>12</v>
      </c>
      <c r="O19" s="1" t="s">
        <v>21</v>
      </c>
      <c r="P19" s="2">
        <v>45508</v>
      </c>
      <c r="Q19" s="23" t="str">
        <f t="shared" si="2"/>
        <v>dimanche</v>
      </c>
      <c r="R19" s="1" t="s">
        <v>12</v>
      </c>
      <c r="S19" s="1" t="s">
        <v>20</v>
      </c>
      <c r="T19" s="21"/>
    </row>
    <row r="20" spans="3:20" x14ac:dyDescent="0.25">
      <c r="C20" s="1" t="str">
        <f t="shared" si="0"/>
        <v>lundi</v>
      </c>
      <c r="D20" s="2">
        <v>45509</v>
      </c>
      <c r="E20" s="1">
        <v>997</v>
      </c>
      <c r="F20" s="25">
        <v>18</v>
      </c>
      <c r="G20" s="25">
        <f t="shared" si="1"/>
        <v>10</v>
      </c>
      <c r="J20" s="22" t="s">
        <v>256</v>
      </c>
      <c r="K20" s="12">
        <v>18</v>
      </c>
      <c r="O20" s="1" t="s">
        <v>21</v>
      </c>
      <c r="P20" s="2">
        <v>45509</v>
      </c>
      <c r="Q20" s="1" t="str">
        <f t="shared" si="2"/>
        <v>lundi</v>
      </c>
      <c r="R20" s="1" t="s">
        <v>12</v>
      </c>
      <c r="S20" s="1" t="s">
        <v>19</v>
      </c>
      <c r="T20" s="21"/>
    </row>
    <row r="21" spans="3:20" x14ac:dyDescent="0.25">
      <c r="C21" s="1" t="str">
        <f t="shared" si="0"/>
        <v>mardi</v>
      </c>
      <c r="D21" s="2">
        <v>45510</v>
      </c>
      <c r="E21" s="1">
        <v>12</v>
      </c>
      <c r="F21" s="25">
        <v>0</v>
      </c>
      <c r="G21" s="25">
        <f t="shared" si="1"/>
        <v>0</v>
      </c>
      <c r="J21" s="22"/>
      <c r="K21" s="12"/>
      <c r="O21" s="1" t="s">
        <v>21</v>
      </c>
      <c r="P21" s="2">
        <v>45510</v>
      </c>
      <c r="Q21" s="1" t="str">
        <f t="shared" si="2"/>
        <v>mardi</v>
      </c>
      <c r="R21" s="1" t="s">
        <v>12</v>
      </c>
      <c r="S21" s="1" t="s">
        <v>18</v>
      </c>
      <c r="T21" s="21"/>
    </row>
    <row r="22" spans="3:20" x14ac:dyDescent="0.25">
      <c r="C22" s="1" t="str">
        <f t="shared" si="0"/>
        <v>mercredi</v>
      </c>
      <c r="D22" s="2">
        <v>45511</v>
      </c>
      <c r="E22" s="1">
        <v>996</v>
      </c>
      <c r="F22" s="25">
        <v>12</v>
      </c>
      <c r="G22" s="25">
        <f t="shared" si="1"/>
        <v>4</v>
      </c>
      <c r="J22" s="22" t="s">
        <v>255</v>
      </c>
      <c r="K22" s="12">
        <v>12</v>
      </c>
      <c r="O22" s="1" t="s">
        <v>21</v>
      </c>
      <c r="P22" s="2">
        <v>45511</v>
      </c>
      <c r="Q22" s="1" t="str">
        <f t="shared" si="2"/>
        <v>mercredi</v>
      </c>
      <c r="R22" s="1" t="s">
        <v>12</v>
      </c>
      <c r="S22" s="1" t="s">
        <v>18</v>
      </c>
      <c r="T22" s="21"/>
    </row>
    <row r="23" spans="3:20" x14ac:dyDescent="0.25">
      <c r="C23" s="1" t="str">
        <f t="shared" si="0"/>
        <v>jeudi</v>
      </c>
      <c r="D23" s="2">
        <v>45512</v>
      </c>
      <c r="E23" s="1">
        <v>996</v>
      </c>
      <c r="F23" s="25">
        <v>12</v>
      </c>
      <c r="G23" s="25">
        <f t="shared" si="1"/>
        <v>4</v>
      </c>
      <c r="J23" s="22" t="s">
        <v>255</v>
      </c>
      <c r="K23" s="12">
        <v>12</v>
      </c>
      <c r="O23" s="1" t="s">
        <v>21</v>
      </c>
      <c r="P23" s="2">
        <v>45512</v>
      </c>
      <c r="Q23" s="1" t="str">
        <f t="shared" si="2"/>
        <v>jeudi</v>
      </c>
      <c r="R23" s="1" t="s">
        <v>12</v>
      </c>
      <c r="S23" s="1" t="s">
        <v>18</v>
      </c>
      <c r="T23" s="21"/>
    </row>
    <row r="24" spans="3:20" x14ac:dyDescent="0.25">
      <c r="C24" s="1" t="str">
        <f t="shared" si="0"/>
        <v>vendredi</v>
      </c>
      <c r="D24" s="2">
        <v>45513</v>
      </c>
      <c r="E24" s="1">
        <v>996</v>
      </c>
      <c r="F24" s="25">
        <v>12</v>
      </c>
      <c r="G24" s="25">
        <f t="shared" si="1"/>
        <v>4</v>
      </c>
      <c r="J24" s="22" t="s">
        <v>255</v>
      </c>
      <c r="K24" s="12">
        <v>12</v>
      </c>
      <c r="O24" s="1" t="s">
        <v>21</v>
      </c>
      <c r="P24" s="2">
        <v>45513</v>
      </c>
      <c r="Q24" s="1" t="str">
        <f t="shared" si="2"/>
        <v>vendredi</v>
      </c>
      <c r="R24" s="1" t="s">
        <v>12</v>
      </c>
      <c r="S24" s="1" t="s">
        <v>18</v>
      </c>
      <c r="T24" s="21"/>
    </row>
    <row r="25" spans="3:20" x14ac:dyDescent="0.25">
      <c r="C25" s="1" t="str">
        <f t="shared" si="0"/>
        <v>samedi</v>
      </c>
      <c r="D25" s="2">
        <v>45514</v>
      </c>
      <c r="E25" s="1">
        <v>996</v>
      </c>
      <c r="F25" s="25">
        <v>12</v>
      </c>
      <c r="G25" s="25">
        <f t="shared" si="1"/>
        <v>7</v>
      </c>
      <c r="J25" s="22" t="s">
        <v>255</v>
      </c>
      <c r="K25" s="12">
        <v>12</v>
      </c>
      <c r="O25" s="1" t="s">
        <v>21</v>
      </c>
      <c r="P25" s="2">
        <v>45514</v>
      </c>
      <c r="Q25" s="1" t="str">
        <f t="shared" si="2"/>
        <v>samedi</v>
      </c>
      <c r="R25" s="1" t="s">
        <v>12</v>
      </c>
      <c r="S25" s="1" t="s">
        <v>18</v>
      </c>
      <c r="T25" s="21"/>
    </row>
    <row r="26" spans="3:20" x14ac:dyDescent="0.25">
      <c r="C26" s="23" t="str">
        <f t="shared" si="0"/>
        <v>dimanche</v>
      </c>
      <c r="D26" s="2">
        <v>45515</v>
      </c>
      <c r="E26" s="1">
        <v>996</v>
      </c>
      <c r="F26" s="25">
        <v>12</v>
      </c>
      <c r="G26" s="25">
        <f t="shared" si="1"/>
        <v>4</v>
      </c>
      <c r="J26" s="22" t="s">
        <v>255</v>
      </c>
      <c r="K26" s="12">
        <v>12</v>
      </c>
      <c r="O26" s="1" t="s">
        <v>21</v>
      </c>
      <c r="P26" s="2">
        <v>45515</v>
      </c>
      <c r="Q26" s="23" t="str">
        <f t="shared" si="2"/>
        <v>dimanche</v>
      </c>
      <c r="R26" s="1" t="s">
        <v>12</v>
      </c>
      <c r="S26" s="1" t="s">
        <v>18</v>
      </c>
      <c r="T26" s="21"/>
    </row>
    <row r="27" spans="3:20" x14ac:dyDescent="0.25">
      <c r="C27" s="1" t="str">
        <f t="shared" si="0"/>
        <v>lundi</v>
      </c>
      <c r="D27" s="2">
        <v>45516</v>
      </c>
      <c r="E27" s="1">
        <v>997</v>
      </c>
      <c r="F27" s="25">
        <v>18</v>
      </c>
      <c r="G27" s="25">
        <f t="shared" si="1"/>
        <v>10</v>
      </c>
      <c r="J27" s="22" t="s">
        <v>256</v>
      </c>
      <c r="K27" s="12">
        <v>18</v>
      </c>
      <c r="O27" s="1" t="s">
        <v>21</v>
      </c>
      <c r="P27" s="2">
        <v>45516</v>
      </c>
      <c r="Q27" s="1" t="str">
        <f t="shared" si="2"/>
        <v>lundi</v>
      </c>
      <c r="R27" s="1" t="s">
        <v>12</v>
      </c>
      <c r="S27" s="1" t="s">
        <v>19</v>
      </c>
      <c r="T27" s="21"/>
    </row>
    <row r="28" spans="3:20" x14ac:dyDescent="0.25">
      <c r="C28" s="1" t="str">
        <f t="shared" si="0"/>
        <v>mardi</v>
      </c>
      <c r="D28" s="2">
        <v>45517</v>
      </c>
      <c r="E28" s="1">
        <v>998</v>
      </c>
      <c r="F28" s="25">
        <v>12</v>
      </c>
      <c r="G28" s="25">
        <f t="shared" si="1"/>
        <v>4</v>
      </c>
      <c r="J28" s="22" t="s">
        <v>254</v>
      </c>
      <c r="K28" s="12">
        <v>12</v>
      </c>
      <c r="O28" s="1" t="s">
        <v>21</v>
      </c>
      <c r="P28" s="2">
        <v>45517</v>
      </c>
      <c r="Q28" s="1" t="str">
        <f t="shared" si="2"/>
        <v>mardi</v>
      </c>
      <c r="R28" s="1" t="s">
        <v>12</v>
      </c>
      <c r="S28" s="1" t="s">
        <v>20</v>
      </c>
      <c r="T28" s="21"/>
    </row>
    <row r="29" spans="3:20" x14ac:dyDescent="0.25">
      <c r="C29" s="1" t="str">
        <f t="shared" si="0"/>
        <v>mercredi</v>
      </c>
      <c r="D29" s="2">
        <v>45518</v>
      </c>
      <c r="E29" s="1">
        <v>998</v>
      </c>
      <c r="F29" s="25">
        <v>12</v>
      </c>
      <c r="G29" s="25">
        <f t="shared" si="1"/>
        <v>4</v>
      </c>
      <c r="J29" s="22" t="s">
        <v>254</v>
      </c>
      <c r="K29" s="12">
        <v>12</v>
      </c>
      <c r="O29" s="1" t="s">
        <v>21</v>
      </c>
      <c r="P29" s="2">
        <v>45518</v>
      </c>
      <c r="Q29" s="1" t="str">
        <f t="shared" si="2"/>
        <v>mercredi</v>
      </c>
      <c r="R29" s="1" t="s">
        <v>12</v>
      </c>
      <c r="S29" s="1" t="s">
        <v>20</v>
      </c>
      <c r="T29" s="21"/>
    </row>
    <row r="30" spans="3:20" x14ac:dyDescent="0.25">
      <c r="C30" s="1" t="str">
        <f t="shared" si="0"/>
        <v>jeudi</v>
      </c>
      <c r="D30" s="2">
        <v>45519</v>
      </c>
      <c r="E30" s="1">
        <v>998</v>
      </c>
      <c r="F30" s="25">
        <v>12</v>
      </c>
      <c r="G30" s="25">
        <f t="shared" si="1"/>
        <v>4</v>
      </c>
      <c r="J30" s="22" t="s">
        <v>254</v>
      </c>
      <c r="K30" s="12">
        <v>12</v>
      </c>
      <c r="O30" s="1" t="s">
        <v>21</v>
      </c>
      <c r="P30" s="2">
        <v>45519</v>
      </c>
      <c r="Q30" s="1" t="str">
        <f t="shared" si="2"/>
        <v>jeudi</v>
      </c>
      <c r="R30" s="1" t="s">
        <v>12</v>
      </c>
      <c r="S30" s="1" t="s">
        <v>20</v>
      </c>
      <c r="T30" s="21"/>
    </row>
    <row r="31" spans="3:20" x14ac:dyDescent="0.25">
      <c r="C31" s="1" t="str">
        <f t="shared" si="0"/>
        <v>vendredi</v>
      </c>
      <c r="D31" s="2">
        <v>45520</v>
      </c>
      <c r="E31" s="1">
        <v>998</v>
      </c>
      <c r="F31" s="25">
        <v>12</v>
      </c>
      <c r="G31" s="25">
        <f t="shared" si="1"/>
        <v>4</v>
      </c>
      <c r="J31" s="22" t="s">
        <v>254</v>
      </c>
      <c r="K31" s="12">
        <v>12</v>
      </c>
      <c r="O31" s="1" t="s">
        <v>21</v>
      </c>
      <c r="P31" s="2">
        <v>45520</v>
      </c>
      <c r="Q31" s="1" t="str">
        <f t="shared" si="2"/>
        <v>vendredi</v>
      </c>
      <c r="R31" s="1" t="s">
        <v>12</v>
      </c>
      <c r="S31" s="1" t="s">
        <v>20</v>
      </c>
      <c r="T31" s="21"/>
    </row>
    <row r="32" spans="3:20" x14ac:dyDescent="0.25">
      <c r="C32" s="1" t="str">
        <f t="shared" si="0"/>
        <v>samedi</v>
      </c>
      <c r="D32" s="2">
        <v>45521</v>
      </c>
      <c r="E32" s="1">
        <v>12</v>
      </c>
      <c r="F32" s="25">
        <v>0</v>
      </c>
      <c r="G32" s="25">
        <f t="shared" si="1"/>
        <v>0</v>
      </c>
      <c r="J32" s="22"/>
      <c r="K32" s="12"/>
      <c r="O32" s="1" t="s">
        <v>21</v>
      </c>
      <c r="P32" s="2">
        <v>45521</v>
      </c>
      <c r="Q32" s="1" t="str">
        <f t="shared" si="2"/>
        <v>samedi</v>
      </c>
      <c r="R32" s="1" t="s">
        <v>12</v>
      </c>
      <c r="S32" s="1" t="s">
        <v>20</v>
      </c>
      <c r="T32" s="21"/>
    </row>
    <row r="33" spans="3:20" x14ac:dyDescent="0.25">
      <c r="C33" s="23" t="str">
        <f t="shared" si="0"/>
        <v>dimanche</v>
      </c>
      <c r="D33" s="2">
        <v>45522</v>
      </c>
      <c r="E33" s="1">
        <v>998</v>
      </c>
      <c r="F33" s="25">
        <v>12</v>
      </c>
      <c r="G33" s="25">
        <f t="shared" si="1"/>
        <v>4</v>
      </c>
      <c r="J33" s="22" t="s">
        <v>254</v>
      </c>
      <c r="K33" s="12">
        <v>12</v>
      </c>
      <c r="O33" s="1" t="s">
        <v>21</v>
      </c>
      <c r="P33" s="2">
        <v>45522</v>
      </c>
      <c r="Q33" s="23" t="str">
        <f t="shared" si="2"/>
        <v>dimanche</v>
      </c>
      <c r="R33" s="1" t="s">
        <v>12</v>
      </c>
      <c r="S33" s="1" t="s">
        <v>20</v>
      </c>
      <c r="T33" s="21"/>
    </row>
    <row r="34" spans="3:20" x14ac:dyDescent="0.25">
      <c r="C34" s="1" t="str">
        <f t="shared" si="0"/>
        <v>lundi</v>
      </c>
      <c r="D34" s="2">
        <v>45523</v>
      </c>
      <c r="E34" s="1">
        <v>997</v>
      </c>
      <c r="F34" s="25">
        <v>18</v>
      </c>
      <c r="G34" s="25">
        <f t="shared" si="1"/>
        <v>10</v>
      </c>
      <c r="J34" s="22" t="s">
        <v>256</v>
      </c>
      <c r="K34" s="12">
        <v>18</v>
      </c>
      <c r="O34" s="1" t="s">
        <v>21</v>
      </c>
      <c r="P34" s="2">
        <v>45523</v>
      </c>
      <c r="Q34" s="1" t="str">
        <f t="shared" si="2"/>
        <v>lundi</v>
      </c>
      <c r="R34" s="1" t="s">
        <v>12</v>
      </c>
      <c r="S34" s="1" t="s">
        <v>19</v>
      </c>
      <c r="T34" s="21"/>
    </row>
    <row r="35" spans="3:20" x14ac:dyDescent="0.25">
      <c r="C35" s="1" t="str">
        <f t="shared" si="0"/>
        <v>mardi</v>
      </c>
      <c r="D35" s="2">
        <v>45524</v>
      </c>
      <c r="E35" s="1">
        <v>12</v>
      </c>
      <c r="F35" s="25">
        <v>0</v>
      </c>
      <c r="G35" s="25">
        <f t="shared" si="1"/>
        <v>0</v>
      </c>
      <c r="J35" s="22"/>
      <c r="K35" s="12"/>
      <c r="O35" s="1" t="s">
        <v>21</v>
      </c>
      <c r="P35" s="2">
        <v>45524</v>
      </c>
      <c r="Q35" s="1" t="str">
        <f t="shared" si="2"/>
        <v>mardi</v>
      </c>
      <c r="R35" s="1" t="s">
        <v>12</v>
      </c>
      <c r="S35" s="1" t="s">
        <v>18</v>
      </c>
      <c r="T35" s="21"/>
    </row>
    <row r="39" spans="3:20" ht="13" x14ac:dyDescent="0.3">
      <c r="C39" s="26" t="s">
        <v>264</v>
      </c>
    </row>
    <row r="41" spans="3:20" x14ac:dyDescent="0.25">
      <c r="D41" s="27" t="s">
        <v>259</v>
      </c>
      <c r="E41" s="28">
        <v>1.3</v>
      </c>
      <c r="F41" s="28">
        <v>1.6</v>
      </c>
      <c r="G41" s="28">
        <v>2</v>
      </c>
    </row>
    <row r="42" spans="3:20" x14ac:dyDescent="0.25">
      <c r="C42" s="27" t="s">
        <v>260</v>
      </c>
      <c r="D42" s="27" t="s">
        <v>274</v>
      </c>
      <c r="E42" s="12">
        <v>6</v>
      </c>
      <c r="F42" s="12">
        <v>15</v>
      </c>
      <c r="G42" s="12">
        <v>0</v>
      </c>
    </row>
    <row r="43" spans="3:20" x14ac:dyDescent="0.25">
      <c r="C43" s="27" t="s">
        <v>261</v>
      </c>
      <c r="D43" s="27" t="s">
        <v>275</v>
      </c>
      <c r="E43" s="12">
        <v>6</v>
      </c>
      <c r="F43" s="12">
        <v>27</v>
      </c>
      <c r="G43" s="12">
        <v>0</v>
      </c>
    </row>
    <row r="44" spans="3:20" x14ac:dyDescent="0.25">
      <c r="C44" s="27" t="s">
        <v>262</v>
      </c>
      <c r="D44" s="27" t="s">
        <v>274</v>
      </c>
      <c r="E44" s="12">
        <v>6</v>
      </c>
      <c r="F44" s="29">
        <v>15</v>
      </c>
      <c r="G44" s="12">
        <v>0</v>
      </c>
    </row>
    <row r="45" spans="3:20" x14ac:dyDescent="0.25">
      <c r="C45" s="27" t="s">
        <v>263</v>
      </c>
      <c r="D45" s="27" t="s">
        <v>274</v>
      </c>
      <c r="E45" s="12">
        <v>6</v>
      </c>
      <c r="F45" s="29">
        <v>15</v>
      </c>
      <c r="G45" s="12">
        <v>0</v>
      </c>
    </row>
    <row r="46" spans="3:20" x14ac:dyDescent="0.25">
      <c r="C46" s="27" t="s">
        <v>276</v>
      </c>
      <c r="D46" s="27" t="s">
        <v>277</v>
      </c>
      <c r="E46" s="12">
        <v>6</v>
      </c>
      <c r="F46" s="29">
        <v>4</v>
      </c>
      <c r="G46" s="12">
        <v>0</v>
      </c>
    </row>
    <row r="47" spans="3:20" x14ac:dyDescent="0.25">
      <c r="C47" s="27" t="s">
        <v>278</v>
      </c>
      <c r="D47" s="27"/>
      <c r="E47" s="12">
        <v>0</v>
      </c>
      <c r="F47" s="29">
        <v>0</v>
      </c>
      <c r="G47" s="12">
        <v>24</v>
      </c>
    </row>
    <row r="49" spans="3:4" ht="13" x14ac:dyDescent="0.3">
      <c r="C49" s="26" t="s">
        <v>265</v>
      </c>
    </row>
    <row r="50" spans="3:4" x14ac:dyDescent="0.25">
      <c r="C50" s="27" t="s">
        <v>251</v>
      </c>
      <c r="D50" s="27" t="s">
        <v>269</v>
      </c>
    </row>
    <row r="51" spans="3:4" x14ac:dyDescent="0.25">
      <c r="C51" s="12">
        <v>996</v>
      </c>
      <c r="D51" s="27" t="s">
        <v>266</v>
      </c>
    </row>
    <row r="52" spans="3:4" x14ac:dyDescent="0.25">
      <c r="C52" s="12">
        <v>998</v>
      </c>
      <c r="D52" s="27" t="s">
        <v>267</v>
      </c>
    </row>
    <row r="53" spans="3:4" x14ac:dyDescent="0.25">
      <c r="C53" s="12">
        <v>997</v>
      </c>
      <c r="D53" s="27" t="s">
        <v>270</v>
      </c>
    </row>
    <row r="54" spans="3:4" x14ac:dyDescent="0.25">
      <c r="C54" s="12">
        <v>12</v>
      </c>
      <c r="D54" s="27" t="s">
        <v>268</v>
      </c>
    </row>
    <row r="55" spans="3:4" x14ac:dyDescent="0.25">
      <c r="C55" s="12">
        <v>3</v>
      </c>
      <c r="D55" s="27" t="s">
        <v>268</v>
      </c>
    </row>
    <row r="58" spans="3:4" x14ac:dyDescent="0.25">
      <c r="C58" s="25" t="s">
        <v>271</v>
      </c>
    </row>
    <row r="59" spans="3:4" x14ac:dyDescent="0.25">
      <c r="C59" s="25" t="s">
        <v>279</v>
      </c>
    </row>
    <row r="60" spans="3:4" x14ac:dyDescent="0.25">
      <c r="C60" s="25" t="s">
        <v>281</v>
      </c>
    </row>
    <row r="61" spans="3:4" ht="13" x14ac:dyDescent="0.25">
      <c r="C61" s="31" t="s">
        <v>280</v>
      </c>
      <c r="D61" s="30"/>
    </row>
    <row r="65" spans="3:3" x14ac:dyDescent="0.25">
      <c r="C65" s="32"/>
    </row>
    <row r="66" spans="3:3" x14ac:dyDescent="0.25">
      <c r="C66" s="33" t="s">
        <v>272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FD1A-61FC-47E9-AD25-A4EDDFCE69B5}">
  <dimension ref="B2:N34"/>
  <sheetViews>
    <sheetView tabSelected="1" workbookViewId="0">
      <selection activeCell="I16" sqref="I16"/>
    </sheetView>
  </sheetViews>
  <sheetFormatPr baseColWidth="10" defaultRowHeight="12.5" x14ac:dyDescent="0.25"/>
  <cols>
    <col min="4" max="4" width="8.7265625" customWidth="1"/>
    <col min="5" max="5" width="9.7265625" bestFit="1" customWidth="1"/>
    <col min="6" max="6" width="9.6328125" bestFit="1" customWidth="1"/>
    <col min="7" max="7" width="12.36328125" bestFit="1" customWidth="1"/>
  </cols>
  <sheetData>
    <row r="2" spans="2:14" ht="26" x14ac:dyDescent="0.3">
      <c r="B2" s="41" t="s">
        <v>249</v>
      </c>
      <c r="C2" s="41" t="s">
        <v>250</v>
      </c>
      <c r="D2" s="42" t="s">
        <v>251</v>
      </c>
      <c r="E2" s="51" t="s">
        <v>291</v>
      </c>
      <c r="F2" s="44" t="s">
        <v>289</v>
      </c>
      <c r="G2" s="44" t="s">
        <v>288</v>
      </c>
      <c r="I2" s="25"/>
      <c r="M2" s="45" t="s">
        <v>250</v>
      </c>
      <c r="N2" s="46" t="s">
        <v>249</v>
      </c>
    </row>
    <row r="3" spans="2:14" x14ac:dyDescent="0.25">
      <c r="B3" s="37" t="str">
        <f t="shared" ref="B3:B33" si="0">TEXT(C3,"jjjj")</f>
        <v>dimanche</v>
      </c>
      <c r="C3" s="38">
        <v>45494</v>
      </c>
      <c r="D3" s="39">
        <v>998</v>
      </c>
      <c r="E3" s="12">
        <f>IF(LEN(TRIM(D3))=2,VLOOKUP(TEXT(D3,"00"),Configurations!$B$5:$G$100,6,0),VLOOKUP(TEXT(RIGHT(D3,1),"0"),POSE_CSKN,3,0))</f>
        <v>12</v>
      </c>
      <c r="F3" s="12">
        <f>IF(OR(WEEKDAY(C3)&gt;1, COUNTIF(Tableau_Pose_Cskn[Date],C3)=0),IF(E3&gt;0,E3-IF(WEEKDAY(C3)=7,5,8),0),0)</f>
        <v>4</v>
      </c>
      <c r="G3" s="12">
        <f>IF(OR(WEEKDAY(C3)=1, COUNTIF(Tableau_Pose_Cskn[Date],C3)&gt;0),IF(E3&gt;0,E3-IF(WEEKDAY(C3)=7,5,8),0),0)</f>
        <v>4</v>
      </c>
      <c r="H3" s="21"/>
      <c r="M3" s="47">
        <v>45505</v>
      </c>
      <c r="N3" s="52" t="s">
        <v>292</v>
      </c>
    </row>
    <row r="4" spans="2:14" x14ac:dyDescent="0.25">
      <c r="B4" s="1" t="str">
        <f t="shared" si="0"/>
        <v>lundi</v>
      </c>
      <c r="C4" s="2">
        <v>45495</v>
      </c>
      <c r="D4" s="36">
        <v>997</v>
      </c>
      <c r="E4" s="12">
        <f>IF(LEN(TRIM(D4))=2,VLOOKUP(TEXT(D4,"00"),Configurations!$B$5:$G$100,6,0),VLOOKUP(TEXT(RIGHT(D4,1),"0"),POSE_CSKN,3,0))</f>
        <v>18</v>
      </c>
      <c r="F4" s="12">
        <f>IF(OR(WEEKDAY(C4)&lt;&gt;1, COUNTIF(Tableau_Pose_Cskn[Date],C4)=0),IF(E4&gt;0,E4-IF(WEEKDAY(C4)=7,5,8),0),0)</f>
        <v>10</v>
      </c>
      <c r="G4" s="12">
        <f>IF(OR(WEEKDAY(C4)=1, COUNTIF(Tableau_Pose_Cskn[Date],C4)&gt;0),IF(E4&gt;0,E4-IF(WEEKDAY(C4)=7,5,8),0),0)</f>
        <v>0</v>
      </c>
      <c r="H4" s="21"/>
      <c r="M4" s="49">
        <v>45651</v>
      </c>
      <c r="N4" s="50" t="s">
        <v>290</v>
      </c>
    </row>
    <row r="5" spans="2:14" x14ac:dyDescent="0.25">
      <c r="B5" s="1" t="str">
        <f t="shared" si="0"/>
        <v>mardi</v>
      </c>
      <c r="C5" s="2">
        <v>45496</v>
      </c>
      <c r="D5" s="43" t="s">
        <v>10</v>
      </c>
      <c r="E5" s="12">
        <f>IF(LEN(TRIM(D5))=2,VLOOKUP(TEXT(D5,"00"),Configurations!$B$5:$G$100,6,0),VLOOKUP(TEXT(RIGHT(D5,1),"0"),POSE_CSKN,3,0))</f>
        <v>0</v>
      </c>
      <c r="F5" s="12">
        <f>IF(OR(WEEKDAY(C5)&lt;&gt;1, COUNTIF(Tableau_Pose_Cskn[Date],C5)=0),IF(E5&gt;0,E5-IF(WEEKDAY(C5)=7,5,8),0),0)</f>
        <v>0</v>
      </c>
      <c r="G5" s="12">
        <f>IF(OR(WEEKDAY(C5)=1, COUNTIF(Tableau_Pose_Cskn[Date],C5)&gt;0),IF(E5&gt;0,E5-IF(WEEKDAY(C5)=7,5,8),0),0)</f>
        <v>0</v>
      </c>
      <c r="H5" s="21"/>
    </row>
    <row r="6" spans="2:14" x14ac:dyDescent="0.25">
      <c r="B6" s="1" t="str">
        <f t="shared" si="0"/>
        <v>mercredi</v>
      </c>
      <c r="C6" s="2">
        <v>45497</v>
      </c>
      <c r="D6" s="36">
        <v>996</v>
      </c>
      <c r="E6" s="12">
        <f>IF(LEN(TRIM(D6))=2,VLOOKUP(TEXT(D6,"00"),Configurations!$B$5:$G$100,6,0),VLOOKUP(TEXT(RIGHT(D6,1),"0"),POSE_CSKN,3,0))</f>
        <v>12</v>
      </c>
      <c r="F6" s="12">
        <f>IF(OR(WEEKDAY(C6)&lt;&gt;1, COUNTIF(Tableau_Pose_Cskn[Date],C6)=0),IF(E6&gt;0,E6-IF(WEEKDAY(C6)=7,5,8),0),0)</f>
        <v>4</v>
      </c>
      <c r="G6" s="12">
        <f>IF(OR(WEEKDAY(C6)=1, COUNTIF(Tableau_Pose_Cskn[Date],C6)&gt;0),IF(E6&gt;0,E6-IF(WEEKDAY(C6)=7,5,8),0),0)</f>
        <v>0</v>
      </c>
      <c r="H6" s="21"/>
      <c r="K6" s="48">
        <v>45505</v>
      </c>
    </row>
    <row r="7" spans="2:14" x14ac:dyDescent="0.25">
      <c r="B7" s="1" t="str">
        <f t="shared" si="0"/>
        <v>jeudi</v>
      </c>
      <c r="C7" s="2">
        <v>45498</v>
      </c>
      <c r="D7" s="36">
        <v>996</v>
      </c>
      <c r="E7" s="12">
        <f>IF(LEN(TRIM(D7))=2,VLOOKUP(TEXT(D7,"00"),Configurations!$B$5:$G$100,6,0),VLOOKUP(TEXT(RIGHT(D7,1),"0"),POSE_CSKN,3,0))</f>
        <v>12</v>
      </c>
      <c r="F7" s="12">
        <f>IF(OR(WEEKDAY(C7)&lt;&gt;1, COUNTIF(Tableau_Pose_Cskn[Date],C7)=0),IF(E7&gt;0,E7-IF(WEEKDAY(C7)=7,5,8),0),0)</f>
        <v>4</v>
      </c>
      <c r="G7" s="12">
        <f>IF(OR(WEEKDAY(C7)=1, COUNTIF(Tableau_Pose_Cskn[Date],C7)&gt;0),IF(E7&gt;0,E7-IF(WEEKDAY(C7)=7,5,8),0),0)</f>
        <v>0</v>
      </c>
      <c r="H7" s="21"/>
    </row>
    <row r="8" spans="2:14" x14ac:dyDescent="0.25">
      <c r="B8" s="1" t="str">
        <f t="shared" si="0"/>
        <v>vendredi</v>
      </c>
      <c r="C8" s="2">
        <v>45499</v>
      </c>
      <c r="D8" s="36">
        <v>996</v>
      </c>
      <c r="E8" s="12">
        <f>IF(LEN(TRIM(D8))=2,VLOOKUP(TEXT(D8,"00"),Configurations!$B$5:$G$100,6,0),VLOOKUP(TEXT(RIGHT(D8,1),"0"),POSE_CSKN,3,0))</f>
        <v>12</v>
      </c>
      <c r="F8" s="12">
        <f>IF(OR(WEEKDAY(C8)&lt;&gt;1, COUNTIF(Tableau_Pose_Cskn[Date],C8)=0),IF(E8&gt;0,E8-IF(WEEKDAY(C8)=7,5,8),0),0)</f>
        <v>4</v>
      </c>
      <c r="G8" s="12">
        <f>IF(OR(WEEKDAY(C8)=1, COUNTIF(Tableau_Pose_Cskn[Date],C8)&gt;0),IF(E8&gt;0,E8-IF(WEEKDAY(C8)=7,5,8),0),0)</f>
        <v>0</v>
      </c>
      <c r="H8" s="21"/>
    </row>
    <row r="9" spans="2:14" x14ac:dyDescent="0.25">
      <c r="B9" s="1" t="str">
        <f t="shared" si="0"/>
        <v>samedi</v>
      </c>
      <c r="C9" s="2">
        <v>45500</v>
      </c>
      <c r="D9" s="36">
        <v>996</v>
      </c>
      <c r="E9" s="12">
        <f>IF(LEN(TRIM(D9))=2,VLOOKUP(TEXT(D9,"00"),Configurations!$B$5:$G$100,6,0),VLOOKUP(TEXT(RIGHT(D9,1),"0"),POSE_CSKN,3,0))</f>
        <v>12</v>
      </c>
      <c r="F9" s="12">
        <f>IF(OR(WEEKDAY(C9)&lt;&gt;1, COUNTIF(Tableau_Pose_Cskn[Date],C9)=0),IF(E9&gt;0,E9-IF(WEEKDAY(C9)=7,5,8),0),0)</f>
        <v>7</v>
      </c>
      <c r="G9" s="12">
        <f>IF(OR(WEEKDAY(C9)=1, COUNTIF(Tableau_Pose_Cskn[Date],C9)&gt;0),IF(E9&gt;0,E9-IF(WEEKDAY(C9)=7,5,8),0),0)</f>
        <v>0</v>
      </c>
      <c r="H9" s="21"/>
    </row>
    <row r="10" spans="2:14" x14ac:dyDescent="0.25">
      <c r="B10" s="23" t="str">
        <f t="shared" si="0"/>
        <v>dimanche</v>
      </c>
      <c r="C10" s="2">
        <v>45501</v>
      </c>
      <c r="D10" s="36">
        <v>996</v>
      </c>
      <c r="E10" s="12">
        <f>IF(LEN(TRIM(D10))=2,VLOOKUP(TEXT(D10,"00"),Configurations!$B$5:$G$100,6,0),VLOOKUP(TEXT(RIGHT(D10,1),"0"),POSE_CSKN,3,0))</f>
        <v>12</v>
      </c>
      <c r="F10" s="12">
        <f>IF(OR(WEEKDAY(C10)&lt;&gt;1, COUNTIF(Tableau_Pose_Cskn[Date],C10)=0),IF(E10&gt;0,E10-IF(WEEKDAY(C10)=7,5,8),0),0)</f>
        <v>4</v>
      </c>
      <c r="G10" s="12">
        <f>IF(OR(WEEKDAY(C10)=1, COUNTIF(Tableau_Pose_Cskn[Date],C10)&gt;0),IF(E10&gt;0,E10-IF(WEEKDAY(C10)=7,5,8),0),0)</f>
        <v>4</v>
      </c>
      <c r="H10" s="21"/>
    </row>
    <row r="11" spans="2:14" x14ac:dyDescent="0.25">
      <c r="B11" s="1" t="str">
        <f t="shared" si="0"/>
        <v>lundi</v>
      </c>
      <c r="C11" s="2">
        <v>45502</v>
      </c>
      <c r="D11" s="36">
        <v>997</v>
      </c>
      <c r="E11" s="12">
        <f>IF(LEN(TRIM(D11))=2,VLOOKUP(TEXT(D11,"00"),Configurations!$B$5:$G$100,6,0),VLOOKUP(TEXT(RIGHT(D11,1),"0"),POSE_CSKN,3,0))</f>
        <v>18</v>
      </c>
      <c r="F11" s="12">
        <f>IF(OR(WEEKDAY(C11)&lt;&gt;1, COUNTIF(Tableau_Pose_Cskn[Date],C11)=0),IF(E11&gt;0,E11-IF(WEEKDAY(C11)=7,5,8),0),0)</f>
        <v>10</v>
      </c>
      <c r="G11" s="12">
        <f>IF(OR(WEEKDAY(C11)=1, COUNTIF(Tableau_Pose_Cskn[Date],C11)&gt;0),IF(E11&gt;0,E11-IF(WEEKDAY(C11)=7,5,8),0),0)</f>
        <v>0</v>
      </c>
      <c r="H11" s="21"/>
    </row>
    <row r="12" spans="2:14" x14ac:dyDescent="0.25">
      <c r="B12" s="1" t="str">
        <f t="shared" si="0"/>
        <v>mardi</v>
      </c>
      <c r="C12" s="2">
        <v>45503</v>
      </c>
      <c r="D12" s="36">
        <v>998</v>
      </c>
      <c r="E12" s="12">
        <f>IF(LEN(TRIM(D12))=2,VLOOKUP(TEXT(D12,"00"),Configurations!$B$5:$G$100,6,0),VLOOKUP(TEXT(RIGHT(D12,1),"0"),POSE_CSKN,3,0))</f>
        <v>12</v>
      </c>
      <c r="F12" s="12">
        <f>IF(OR(WEEKDAY(C12)&lt;&gt;1, COUNTIF(Tableau_Pose_Cskn[Date],C12)=0),IF(E12&gt;0,E12-IF(WEEKDAY(C12)=7,5,8),0),0)</f>
        <v>4</v>
      </c>
      <c r="G12" s="12">
        <f>IF(OR(WEEKDAY(C12)=1, COUNTIF(Tableau_Pose_Cskn[Date],C12)&gt;0),IF(E12&gt;0,E12-IF(WEEKDAY(C12)=7,5,8),0),0)</f>
        <v>0</v>
      </c>
      <c r="H12" s="21"/>
      <c r="L12" t="b">
        <f>COUNTIF(Tableau_Pose_Cskn[Date],C14)=0</f>
        <v>0</v>
      </c>
    </row>
    <row r="13" spans="2:14" x14ac:dyDescent="0.25">
      <c r="B13" s="1" t="str">
        <f t="shared" si="0"/>
        <v>mercredi</v>
      </c>
      <c r="C13" s="2">
        <v>45504</v>
      </c>
      <c r="D13" s="36">
        <v>998</v>
      </c>
      <c r="E13" s="12">
        <f>IF(LEN(TRIM(D13))=2,VLOOKUP(TEXT(D13,"00"),Configurations!$B$5:$G$100,6,0),VLOOKUP(TEXT(RIGHT(D13,1),"0"),POSE_CSKN,3,0))</f>
        <v>12</v>
      </c>
      <c r="F13" s="12">
        <f>IF(OR(WEEKDAY(C13)&lt;&gt;1, COUNTIF(Tableau_Pose_Cskn[Date],C13)=0),IF(E13&gt;0,E13-IF(WEEKDAY(C13)=7,5,8),0),0)</f>
        <v>4</v>
      </c>
      <c r="G13" s="12">
        <f>IF(OR(WEEKDAY(C13)=1, COUNTIF(Tableau_Pose_Cskn[Date],C13)&gt;0),IF(E13&gt;0,E13-IF(WEEKDAY(C13)=7,5,8),0),0)</f>
        <v>0</v>
      </c>
      <c r="H13" s="21"/>
    </row>
    <row r="14" spans="2:14" x14ac:dyDescent="0.25">
      <c r="B14" s="23" t="str">
        <f t="shared" si="0"/>
        <v>jeudi</v>
      </c>
      <c r="C14" s="2">
        <v>45505</v>
      </c>
      <c r="D14" s="36">
        <v>998</v>
      </c>
      <c r="E14" s="12">
        <f>IF(LEN(TRIM(D14))=2,VLOOKUP(TEXT(D14,"00"),Configurations!$B$5:$G$100,6,0),VLOOKUP(TEXT(RIGHT(D14,1),"0"),POSE_CSKN,3,0))</f>
        <v>12</v>
      </c>
      <c r="F14" s="12">
        <f>IF(OR(WEEKDAY(C14)&lt;&gt;1, COUNTIF(Tableau_Pose_Cskn[Date],C14)=0),IF(E14&gt;0,E14-IF(WEEKDAY(C14)=7,5,8),0),0)</f>
        <v>4</v>
      </c>
      <c r="G14" s="12">
        <f>IF(OR(WEEKDAY(C14)=1, COUNTIF(Tableau_Pose_Cskn[Date],C14)&gt;0),IF(E14&gt;0,E14-IF(WEEKDAY(C14)=7,5,8),0),0)</f>
        <v>4</v>
      </c>
      <c r="H14" s="21"/>
    </row>
    <row r="15" spans="2:14" x14ac:dyDescent="0.25">
      <c r="B15" s="1" t="str">
        <f t="shared" si="0"/>
        <v>vendredi</v>
      </c>
      <c r="C15" s="2">
        <v>45506</v>
      </c>
      <c r="D15" s="36">
        <v>998</v>
      </c>
      <c r="E15" s="12">
        <f>IF(LEN(TRIM(D15))=2,VLOOKUP(TEXT(D15,"00"),Configurations!$B$5:$G$100,6,0),VLOOKUP(TEXT(RIGHT(D15,1),"0"),POSE_CSKN,3,0))</f>
        <v>12</v>
      </c>
      <c r="F15" s="12">
        <f>IF(WEEKDAY(C15)&lt;&gt;1,IF(E15&gt;0,E15-IF(WEEKDAY(C15)=7,5,8),0),0)</f>
        <v>4</v>
      </c>
      <c r="G15" s="12">
        <f>IF(OR(WEEKDAY(C15)=1, COUNTIF(Tableau_Pose_Cskn[Date],C15)&gt;0),IF(E15&gt;0,E15-IF(WEEKDAY(C15)=7,5,8),0),0)</f>
        <v>0</v>
      </c>
      <c r="H15" s="21"/>
      <c r="L15" t="b">
        <f>OR(WEEKDAY(C3)&gt;1, COUNTIF(Tableau_Pose_Cskn[Date],C3)=0)</f>
        <v>1</v>
      </c>
      <c r="N15" t="b">
        <f>COUNTIF(Tableau_Pose_Cskn[Date],C3)=0</f>
        <v>1</v>
      </c>
    </row>
    <row r="16" spans="2:14" x14ac:dyDescent="0.25">
      <c r="B16" s="1" t="str">
        <f t="shared" si="0"/>
        <v>samedi</v>
      </c>
      <c r="C16" s="2">
        <v>45507</v>
      </c>
      <c r="D16" s="36">
        <v>998</v>
      </c>
      <c r="E16" s="12">
        <f>IF(LEN(TRIM(D16))=2,VLOOKUP(TEXT(D16,"00"),Configurations!$B$5:$G$100,6,0),VLOOKUP(TEXT(RIGHT(D16,1),"0"),POSE_CSKN,3,0))</f>
        <v>12</v>
      </c>
      <c r="F16" s="12">
        <f>IF(WEEKDAY(C16)&lt;&gt;1,IF(E16&gt;0,E16-IF(WEEKDAY(C16)=7,5,8),0),0)</f>
        <v>7</v>
      </c>
      <c r="G16" s="12">
        <f>IF(OR(WEEKDAY(C16)=1, COUNTIF(Tableau_Pose_Cskn[Date],C16)&gt;0),IF(E16&gt;0,E16-IF(WEEKDAY(C16)=7,5,8),0),0)</f>
        <v>0</v>
      </c>
      <c r="H16" s="21"/>
    </row>
    <row r="17" spans="2:13" x14ac:dyDescent="0.25">
      <c r="B17" s="23" t="str">
        <f t="shared" si="0"/>
        <v>dimanche</v>
      </c>
      <c r="C17" s="2">
        <v>45508</v>
      </c>
      <c r="D17" s="36">
        <v>998</v>
      </c>
      <c r="E17" s="12">
        <f>IF(LEN(TRIM(D17))=2,VLOOKUP(TEXT(D17,"00"),Configurations!$B$5:$G$100,6,0),VLOOKUP(TEXT(RIGHT(D17,1),"0"),POSE_CSKN,3,0))</f>
        <v>12</v>
      </c>
      <c r="F17" s="12">
        <f>IF(WEEKDAY(C17)&lt;&gt;1,IF(E17&gt;0,E17-IF(WEEKDAY(C17)=7,5,8),0),0)</f>
        <v>0</v>
      </c>
      <c r="G17" s="12">
        <f>IF(OR(WEEKDAY(C17)=1, COUNTIF(Tableau_Pose_Cskn[Date],C17)&gt;0),IF(E17&gt;0,E17-IF(WEEKDAY(C17)=7,5,8),0),0)</f>
        <v>4</v>
      </c>
      <c r="H17" s="21"/>
    </row>
    <row r="18" spans="2:13" x14ac:dyDescent="0.25">
      <c r="B18" s="1" t="str">
        <f t="shared" si="0"/>
        <v>lundi</v>
      </c>
      <c r="C18" s="2">
        <v>45509</v>
      </c>
      <c r="D18" s="36">
        <v>997</v>
      </c>
      <c r="E18" s="12">
        <f>IF(LEN(TRIM(D18))=2,VLOOKUP(TEXT(D18,"00"),Configurations!$B$5:$G$100,6,0),VLOOKUP(TEXT(RIGHT(D18,1),"0"),POSE_CSKN,3,0))</f>
        <v>18</v>
      </c>
      <c r="F18" s="12">
        <f>IF(WEEKDAY(C18)&lt;&gt;1,IF(E18&gt;0,E18-IF(WEEKDAY(C18)=7,5,8),0),0)</f>
        <v>10</v>
      </c>
      <c r="G18" s="12">
        <f>IF(OR(WEEKDAY(C18)=1, COUNTIF(Tableau_Pose_Cskn[Date],C18)&gt;0),IF(E18&gt;0,E18-IF(WEEKDAY(C18)=7,5,8),0),0)</f>
        <v>0</v>
      </c>
      <c r="H18" s="21"/>
    </row>
    <row r="19" spans="2:13" x14ac:dyDescent="0.25">
      <c r="B19" s="1" t="str">
        <f t="shared" si="0"/>
        <v>mardi</v>
      </c>
      <c r="C19" s="2">
        <v>45510</v>
      </c>
      <c r="D19" s="36">
        <v>12</v>
      </c>
      <c r="E19" s="12">
        <f>IF(LEN(TRIM(D19))=2,VLOOKUP(TEXT(D19,"00"),Configurations!$B$5:$G$100,6,0),VLOOKUP(TEXT(RIGHT(D19,1),"0"),POSE_CSKN,3,0))</f>
        <v>0</v>
      </c>
      <c r="F19" s="12">
        <f>IF(WEEKDAY(C19)&lt;&gt;1,IF(E19&gt;0,E19-IF(WEEKDAY(C19)=7,5,8),0),0)</f>
        <v>0</v>
      </c>
      <c r="G19" s="12">
        <f>IF(OR(WEEKDAY(C19)=1, COUNTIF(Tableau_Pose_Cskn[Date],C19)&gt;0),IF(E19&gt;0,E19-IF(WEEKDAY(C19)=7,5,8),0),0)</f>
        <v>0</v>
      </c>
      <c r="H19" s="21"/>
    </row>
    <row r="20" spans="2:13" x14ac:dyDescent="0.25">
      <c r="B20" s="1" t="str">
        <f t="shared" si="0"/>
        <v>mercredi</v>
      </c>
      <c r="C20" s="2">
        <v>45511</v>
      </c>
      <c r="D20" s="36">
        <v>996</v>
      </c>
      <c r="E20" s="12">
        <f>IF(LEN(TRIM(D20))=2,VLOOKUP(TEXT(D20,"00"),Configurations!$B$5:$G$100,6,0),VLOOKUP(TEXT(RIGHT(D20,1),"0"),POSE_CSKN,3,0))</f>
        <v>12</v>
      </c>
      <c r="F20" s="12">
        <f>IF(WEEKDAY(C20)&lt;&gt;1,IF(E20&gt;0,E20-IF(WEEKDAY(C20)=7,5,8),0),0)</f>
        <v>4</v>
      </c>
      <c r="G20" s="12">
        <f>IF(OR(WEEKDAY(C20)=1, COUNTIF(Tableau_Pose_Cskn[Date],C20)&gt;0),IF(E20&gt;0,E20-IF(WEEKDAY(C20)=7,5,8),0),0)</f>
        <v>0</v>
      </c>
      <c r="H20" s="21"/>
      <c r="K20" s="28">
        <v>1.3</v>
      </c>
      <c r="L20" s="28">
        <v>1.6</v>
      </c>
      <c r="M20" s="28">
        <v>2</v>
      </c>
    </row>
    <row r="21" spans="2:13" x14ac:dyDescent="0.25">
      <c r="B21" s="1" t="str">
        <f t="shared" si="0"/>
        <v>jeudi</v>
      </c>
      <c r="C21" s="2">
        <v>45512</v>
      </c>
      <c r="D21" s="36">
        <v>996</v>
      </c>
      <c r="E21" s="12">
        <f>IF(LEN(TRIM(D21))=2,VLOOKUP(TEXT(D21,"00"),Configurations!$B$5:$G$100,6,0),VLOOKUP(TEXT(RIGHT(D21,1),"0"),POSE_CSKN,3,0))</f>
        <v>12</v>
      </c>
      <c r="F21" s="12">
        <f>IF(WEEKDAY(C21)&lt;&gt;1,IF(E21&gt;0,E21-IF(WEEKDAY(C21)=7,5,8),0),0)</f>
        <v>4</v>
      </c>
      <c r="G21" s="12">
        <f>IF(OR(WEEKDAY(C21)=1, COUNTIF(Tableau_Pose_Cskn[Date],C21)&gt;0),IF(E21&gt;0,E21-IF(WEEKDAY(C21)=7,5,8),0),0)</f>
        <v>0</v>
      </c>
      <c r="H21" s="21"/>
      <c r="J21" s="27" t="s">
        <v>260</v>
      </c>
      <c r="K21" s="12">
        <v>6</v>
      </c>
      <c r="L21" s="12">
        <v>15</v>
      </c>
      <c r="M21" s="12">
        <v>0</v>
      </c>
    </row>
    <row r="22" spans="2:13" x14ac:dyDescent="0.25">
      <c r="B22" s="1" t="str">
        <f t="shared" si="0"/>
        <v>vendredi</v>
      </c>
      <c r="C22" s="2">
        <v>45513</v>
      </c>
      <c r="D22" s="36">
        <v>996</v>
      </c>
      <c r="E22" s="12">
        <f>IF(LEN(TRIM(D22))=2,VLOOKUP(TEXT(D22,"00"),Configurations!$B$5:$G$100,6,0),VLOOKUP(TEXT(RIGHT(D22,1),"0"),POSE_CSKN,3,0))</f>
        <v>12</v>
      </c>
      <c r="F22" s="12">
        <f>IF(WEEKDAY(C22)&lt;&gt;1,IF(E22&gt;0,E22-IF(WEEKDAY(C22)=7,5,8),0),0)</f>
        <v>4</v>
      </c>
      <c r="G22" s="12">
        <f>IF(OR(WEEKDAY(C22)=1, COUNTIF(Tableau_Pose_Cskn[Date],C22)&gt;0),IF(E22&gt;0,E22-IF(WEEKDAY(C22)=7,5,8),0),0)</f>
        <v>0</v>
      </c>
      <c r="H22" s="21"/>
      <c r="J22" s="27" t="s">
        <v>261</v>
      </c>
      <c r="K22" s="12">
        <v>6</v>
      </c>
      <c r="L22" s="12">
        <v>27</v>
      </c>
      <c r="M22" s="12">
        <v>0</v>
      </c>
    </row>
    <row r="23" spans="2:13" x14ac:dyDescent="0.25">
      <c r="B23" s="1" t="str">
        <f t="shared" si="0"/>
        <v>samedi</v>
      </c>
      <c r="C23" s="2">
        <v>45514</v>
      </c>
      <c r="D23" s="36">
        <v>996</v>
      </c>
      <c r="E23" s="12">
        <f>IF(LEN(TRIM(D23))=2,VLOOKUP(TEXT(D23,"00"),Configurations!$B$5:$G$100,6,0),VLOOKUP(TEXT(RIGHT(D23,1),"0"),POSE_CSKN,3,0))</f>
        <v>12</v>
      </c>
      <c r="F23" s="12">
        <f>IF(WEEKDAY(C23)&lt;&gt;1,IF(E23&gt;0,E23-IF(WEEKDAY(C23)=7,5,8),0),0)</f>
        <v>7</v>
      </c>
      <c r="G23" s="12">
        <f>IF(OR(WEEKDAY(C23)=1, COUNTIF(Tableau_Pose_Cskn[Date],C23)&gt;0),IF(E23&gt;0,E23-IF(WEEKDAY(C23)=7,5,8),0),0)</f>
        <v>0</v>
      </c>
      <c r="H23" s="21"/>
      <c r="J23" s="27" t="s">
        <v>262</v>
      </c>
      <c r="K23" s="12">
        <v>6</v>
      </c>
      <c r="L23" s="29">
        <v>15</v>
      </c>
      <c r="M23" s="12">
        <v>0</v>
      </c>
    </row>
    <row r="24" spans="2:13" x14ac:dyDescent="0.25">
      <c r="B24" s="23" t="str">
        <f t="shared" si="0"/>
        <v>dimanche</v>
      </c>
      <c r="C24" s="2">
        <v>45515</v>
      </c>
      <c r="D24" s="36">
        <v>996</v>
      </c>
      <c r="E24" s="12">
        <f>IF(LEN(TRIM(D24))=2,VLOOKUP(TEXT(D24,"00"),Configurations!$B$5:$G$100,6,0),VLOOKUP(TEXT(RIGHT(D24,1),"0"),POSE_CSKN,3,0))</f>
        <v>12</v>
      </c>
      <c r="F24" s="12">
        <f>IF(WEEKDAY(C24)&lt;&gt;1,IF(E24&gt;0,E24-IF(WEEKDAY(C24)=7,5,8),0),0)</f>
        <v>0</v>
      </c>
      <c r="G24" s="12">
        <f>IF(OR(WEEKDAY(C24)=1, COUNTIF(Tableau_Pose_Cskn[Date],C24)&gt;0),IF(E24&gt;0,E24-IF(WEEKDAY(C24)=7,5,8),0),0)</f>
        <v>4</v>
      </c>
      <c r="H24" s="21"/>
      <c r="J24" s="27" t="s">
        <v>263</v>
      </c>
      <c r="K24" s="12">
        <v>6</v>
      </c>
      <c r="L24" s="29">
        <v>15</v>
      </c>
      <c r="M24" s="12">
        <v>0</v>
      </c>
    </row>
    <row r="25" spans="2:13" x14ac:dyDescent="0.25">
      <c r="B25" s="1" t="str">
        <f t="shared" si="0"/>
        <v>lundi</v>
      </c>
      <c r="C25" s="2">
        <v>45516</v>
      </c>
      <c r="D25" s="36">
        <v>997</v>
      </c>
      <c r="E25" s="12">
        <f>IF(LEN(TRIM(D25))=2,VLOOKUP(TEXT(D25,"00"),Configurations!$B$5:$G$100,6,0),VLOOKUP(TEXT(RIGHT(D25,1),"0"),POSE_CSKN,3,0))</f>
        <v>18</v>
      </c>
      <c r="F25" s="12">
        <f>IF(WEEKDAY(C25)&lt;&gt;1,IF(E25&gt;0,E25-IF(WEEKDAY(C25)=7,5,8),0),0)</f>
        <v>10</v>
      </c>
      <c r="G25" s="12">
        <f>IF(OR(WEEKDAY(C25)=1, COUNTIF(Tableau_Pose_Cskn[Date],C25)&gt;0),IF(E25&gt;0,E25-IF(WEEKDAY(C25)=7,5,8),0),0)</f>
        <v>0</v>
      </c>
      <c r="H25" s="21"/>
      <c r="J25" s="27" t="s">
        <v>276</v>
      </c>
      <c r="K25" s="12">
        <v>6</v>
      </c>
      <c r="L25" s="29">
        <v>4</v>
      </c>
      <c r="M25" s="12">
        <v>0</v>
      </c>
    </row>
    <row r="26" spans="2:13" ht="13" x14ac:dyDescent="0.3">
      <c r="B26" s="1" t="str">
        <f t="shared" si="0"/>
        <v>mardi</v>
      </c>
      <c r="C26" s="2">
        <v>45517</v>
      </c>
      <c r="D26" s="36">
        <v>998</v>
      </c>
      <c r="E26" s="12">
        <f>IF(LEN(TRIM(D26))=2,VLOOKUP(TEXT(D26,"00"),Configurations!$B$5:$G$100,6,0),VLOOKUP(TEXT(RIGHT(D26,1),"0"),POSE_CSKN,3,0))</f>
        <v>12</v>
      </c>
      <c r="F26" s="12">
        <f>IF(WEEKDAY(C26)&lt;&gt;1,IF(E26&gt;0,E26-IF(WEEKDAY(C26)=7,5,8),0),0)</f>
        <v>4</v>
      </c>
      <c r="G26" s="12">
        <f>IF(OR(WEEKDAY(C26)=1, COUNTIF(Tableau_Pose_Cskn[Date],C26)&gt;0),IF(E26&gt;0,E26-IF(WEEKDAY(C26)=7,5,8),0),0)</f>
        <v>0</v>
      </c>
      <c r="H26" s="21"/>
      <c r="J26" s="44" t="s">
        <v>288</v>
      </c>
      <c r="K26" s="12">
        <v>0</v>
      </c>
      <c r="L26" s="29">
        <v>0</v>
      </c>
      <c r="M26" s="12">
        <v>24</v>
      </c>
    </row>
    <row r="27" spans="2:13" x14ac:dyDescent="0.25">
      <c r="B27" s="1" t="str">
        <f t="shared" si="0"/>
        <v>mercredi</v>
      </c>
      <c r="C27" s="2">
        <v>45518</v>
      </c>
      <c r="D27" s="36">
        <v>998</v>
      </c>
      <c r="E27" s="12">
        <f>IF(LEN(TRIM(D27))=2,VLOOKUP(TEXT(D27,"00"),Configurations!$B$5:$G$100,6,0),VLOOKUP(TEXT(RIGHT(D27,1),"0"),POSE_CSKN,3,0))</f>
        <v>12</v>
      </c>
      <c r="F27" s="12">
        <f>IF(WEEKDAY(C27)&lt;&gt;1,IF(E27&gt;0,E27-IF(WEEKDAY(C27)=7,5,8),0),0)</f>
        <v>4</v>
      </c>
      <c r="G27" s="12">
        <f>IF(OR(WEEKDAY(C27)=1, COUNTIF(Tableau_Pose_Cskn[Date],C27)&gt;0),IF(E27&gt;0,E27-IF(WEEKDAY(C27)=7,5,8),0),0)</f>
        <v>0</v>
      </c>
      <c r="H27" s="21"/>
    </row>
    <row r="28" spans="2:13" x14ac:dyDescent="0.25">
      <c r="B28" s="1" t="str">
        <f t="shared" si="0"/>
        <v>jeudi</v>
      </c>
      <c r="C28" s="2">
        <v>45519</v>
      </c>
      <c r="D28" s="36">
        <v>998</v>
      </c>
      <c r="E28" s="12">
        <f>IF(LEN(TRIM(D28))=2,VLOOKUP(TEXT(D28,"00"),Configurations!$B$5:$G$100,6,0),VLOOKUP(TEXT(RIGHT(D28,1),"0"),POSE_CSKN,3,0))</f>
        <v>12</v>
      </c>
      <c r="F28" s="12">
        <f>IF(WEEKDAY(C28)&lt;&gt;1,IF(E28&gt;0,E28-IF(WEEKDAY(C28)=7,5,8),0),0)</f>
        <v>4</v>
      </c>
      <c r="G28" s="12">
        <f>IF(OR(WEEKDAY(C28)=1, COUNTIF(Tableau_Pose_Cskn[Date],C28)&gt;0),IF(E28&gt;0,E28-IF(WEEKDAY(C28)=7,5,8),0),0)</f>
        <v>0</v>
      </c>
      <c r="H28" s="21"/>
    </row>
    <row r="29" spans="2:13" x14ac:dyDescent="0.25">
      <c r="B29" s="1" t="str">
        <f t="shared" si="0"/>
        <v>vendredi</v>
      </c>
      <c r="C29" s="2">
        <v>45520</v>
      </c>
      <c r="D29" s="36">
        <v>998</v>
      </c>
      <c r="E29" s="12">
        <f>IF(LEN(TRIM(D29))=2,VLOOKUP(TEXT(D29,"00"),Configurations!$B$5:$G$100,6,0),VLOOKUP(TEXT(RIGHT(D29,1),"0"),POSE_CSKN,3,0))</f>
        <v>12</v>
      </c>
      <c r="F29" s="12">
        <f>IF(WEEKDAY(C29)&lt;&gt;1,IF(E29&gt;0,E29-IF(WEEKDAY(C29)=7,5,8),0),0)</f>
        <v>4</v>
      </c>
      <c r="G29" s="12">
        <f>IF(OR(WEEKDAY(C29)=1, COUNTIF(Tableau_Pose_Cskn[Date],C29)&gt;0),IF(E29&gt;0,E29-IF(WEEKDAY(C29)=7,5,8),0),0)</f>
        <v>0</v>
      </c>
      <c r="H29" s="21"/>
    </row>
    <row r="30" spans="2:13" x14ac:dyDescent="0.25">
      <c r="B30" s="1" t="str">
        <f t="shared" si="0"/>
        <v>samedi</v>
      </c>
      <c r="C30" s="2">
        <v>45521</v>
      </c>
      <c r="D30" s="36">
        <v>12</v>
      </c>
      <c r="E30" s="12">
        <f>IF(LEN(TRIM(D30))=2,VLOOKUP(TEXT(D30,"00"),Configurations!$B$5:$G$100,6,0),VLOOKUP(TEXT(RIGHT(D30,1),"0"),POSE_CSKN,3,0))</f>
        <v>0</v>
      </c>
      <c r="F30" s="12">
        <f>IF(WEEKDAY(C30)&lt;&gt;1,IF(E30&gt;0,E30-IF(WEEKDAY(C30)=7,5,8),0),0)</f>
        <v>0</v>
      </c>
      <c r="G30" s="12">
        <f>IF(OR(WEEKDAY(C30)=1, COUNTIF(Tableau_Pose_Cskn[Date],C30)&gt;0),IF(E30&gt;0,E30-IF(WEEKDAY(C30)=7,5,8),0),0)</f>
        <v>0</v>
      </c>
      <c r="H30" s="21"/>
    </row>
    <row r="31" spans="2:13" x14ac:dyDescent="0.25">
      <c r="B31" s="23" t="str">
        <f t="shared" si="0"/>
        <v>dimanche</v>
      </c>
      <c r="C31" s="2">
        <v>45522</v>
      </c>
      <c r="D31" s="36">
        <v>998</v>
      </c>
      <c r="E31" s="12">
        <f>IF(LEN(TRIM(D31))=2,VLOOKUP(TEXT(D31,"00"),Configurations!$B$5:$G$100,6,0),VLOOKUP(TEXT(RIGHT(D31,1),"0"),POSE_CSKN,3,0))</f>
        <v>12</v>
      </c>
      <c r="F31" s="12">
        <f>IF(WEEKDAY(C31)&lt;&gt;1,IF(E31&gt;0,E31-IF(WEEKDAY(C31)=7,5,8),0),0)</f>
        <v>0</v>
      </c>
      <c r="G31" s="12">
        <f>IF(OR(WEEKDAY(C31)=1, COUNTIF(Tableau_Pose_Cskn[Date],C31)&gt;0),IF(E31&gt;0,E31-IF(WEEKDAY(C31)=7,5,8),0),0)</f>
        <v>4</v>
      </c>
      <c r="H31" s="21"/>
    </row>
    <row r="32" spans="2:13" x14ac:dyDescent="0.25">
      <c r="B32" s="1" t="str">
        <f t="shared" si="0"/>
        <v>lundi</v>
      </c>
      <c r="C32" s="2">
        <v>45523</v>
      </c>
      <c r="D32" s="36">
        <v>997</v>
      </c>
      <c r="E32" s="12">
        <f>IF(LEN(TRIM(D32))=2,VLOOKUP(TEXT(D32,"00"),Configurations!$B$5:$G$100,6,0),VLOOKUP(TEXT(RIGHT(D32,1),"0"),POSE_CSKN,3,0))</f>
        <v>18</v>
      </c>
      <c r="F32" s="12">
        <f>IF(WEEKDAY(C32)&lt;&gt;1,IF(E32&gt;0,E32-IF(WEEKDAY(C32)=7,5,8),0),0)</f>
        <v>10</v>
      </c>
      <c r="G32" s="12">
        <f>IF(OR(WEEKDAY(C32)=1, COUNTIF(Tableau_Pose_Cskn[Date],C32)&gt;0),IF(E32&gt;0,E32-IF(WEEKDAY(C32)=7,5,8),0),0)</f>
        <v>0</v>
      </c>
      <c r="H32" s="21"/>
    </row>
    <row r="33" spans="2:8" x14ac:dyDescent="0.25">
      <c r="B33" s="1" t="str">
        <f t="shared" si="0"/>
        <v>mardi</v>
      </c>
      <c r="C33" s="2">
        <v>45524</v>
      </c>
      <c r="D33" s="43" t="s">
        <v>10</v>
      </c>
      <c r="E33" s="12">
        <f>IF(LEN(TRIM(D33))=2,VLOOKUP(TEXT(D33,"00"),Configurations!$B$5:$G$100,6,0),VLOOKUP(TEXT(RIGHT(D33,1),"0"),POSE_CSKN,3,0))</f>
        <v>0</v>
      </c>
      <c r="F33" s="12">
        <f>IF(WEEKDAY(C33)&lt;&gt;1,IF(E33&gt;0,E33-IF(WEEKDAY(C33)=7,5,8),0),0)</f>
        <v>0</v>
      </c>
      <c r="G33" s="12">
        <f>IF(OR(WEEKDAY(C33)=1, COUNTIF(Tableau_Pose_Cskn[Date],C33)&gt;0),IF(E33&gt;0,E33-IF(WEEKDAY(C33)=7,5,8),0),0)</f>
        <v>0</v>
      </c>
      <c r="H33" s="21"/>
    </row>
    <row r="34" spans="2:8" ht="13" x14ac:dyDescent="0.3">
      <c r="E34" s="40">
        <f t="shared" ref="E34:G34" si="1">SUM(E3:E33)</f>
        <v>354</v>
      </c>
      <c r="F34" s="40">
        <f t="shared" si="1"/>
        <v>135</v>
      </c>
      <c r="G34" s="40">
        <f t="shared" si="1"/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7AAF-25F6-426B-93DC-326260F9D879}">
  <dimension ref="B3:M100"/>
  <sheetViews>
    <sheetView workbookViewId="0">
      <selection activeCell="J22" sqref="J22:J23"/>
    </sheetView>
  </sheetViews>
  <sheetFormatPr baseColWidth="10" defaultRowHeight="12.5" x14ac:dyDescent="0.25"/>
  <cols>
    <col min="2" max="2" width="6" bestFit="1" customWidth="1"/>
    <col min="3" max="3" width="42.1796875" bestFit="1" customWidth="1"/>
    <col min="4" max="4" width="22.08984375" bestFit="1" customWidth="1"/>
    <col min="5" max="5" width="6.90625" bestFit="1" customWidth="1"/>
    <col min="7" max="7" width="8.36328125" bestFit="1" customWidth="1"/>
    <col min="12" max="12" width="31.6328125" bestFit="1" customWidth="1"/>
    <col min="15" max="15" width="6" bestFit="1" customWidth="1"/>
    <col min="16" max="16" width="31.6328125" bestFit="1" customWidth="1"/>
  </cols>
  <sheetData>
    <row r="3" spans="2:13" ht="13" x14ac:dyDescent="0.3">
      <c r="C3" s="35" t="s">
        <v>286</v>
      </c>
      <c r="D3" s="35"/>
      <c r="E3" s="35"/>
      <c r="F3" s="35"/>
      <c r="K3" s="35" t="s">
        <v>287</v>
      </c>
      <c r="L3" s="35"/>
      <c r="M3" s="35"/>
    </row>
    <row r="5" spans="2:13" ht="26" x14ac:dyDescent="0.25">
      <c r="B5" s="8" t="s">
        <v>44</v>
      </c>
      <c r="C5" s="8" t="s">
        <v>135</v>
      </c>
      <c r="D5" s="8" t="s">
        <v>283</v>
      </c>
      <c r="E5" s="8" t="s">
        <v>231</v>
      </c>
      <c r="F5" s="13" t="s">
        <v>232</v>
      </c>
      <c r="G5" s="34" t="s">
        <v>282</v>
      </c>
      <c r="K5" s="13" t="s">
        <v>44</v>
      </c>
      <c r="L5" s="13" t="s">
        <v>135</v>
      </c>
      <c r="M5" s="34" t="s">
        <v>282</v>
      </c>
    </row>
    <row r="6" spans="2:13" x14ac:dyDescent="0.25">
      <c r="B6" s="1" t="s">
        <v>45</v>
      </c>
      <c r="C6" s="1" t="s">
        <v>136</v>
      </c>
      <c r="D6" s="1" t="s">
        <v>284</v>
      </c>
      <c r="E6" s="10">
        <v>5</v>
      </c>
      <c r="F6" s="12">
        <v>0</v>
      </c>
      <c r="G6" s="12">
        <v>0</v>
      </c>
      <c r="K6" s="14">
        <v>0</v>
      </c>
      <c r="L6" s="14" t="s">
        <v>233</v>
      </c>
      <c r="M6" s="12">
        <v>8</v>
      </c>
    </row>
    <row r="7" spans="2:13" x14ac:dyDescent="0.25">
      <c r="B7" s="1" t="s">
        <v>46</v>
      </c>
      <c r="C7" s="1" t="s">
        <v>137</v>
      </c>
      <c r="D7" s="1" t="s">
        <v>284</v>
      </c>
      <c r="E7" s="10">
        <v>0</v>
      </c>
      <c r="F7" s="12">
        <v>0</v>
      </c>
      <c r="G7" s="12">
        <v>0</v>
      </c>
      <c r="K7" s="14" t="s">
        <v>15</v>
      </c>
      <c r="L7" s="14" t="s">
        <v>234</v>
      </c>
      <c r="M7" s="12">
        <v>8</v>
      </c>
    </row>
    <row r="8" spans="2:13" x14ac:dyDescent="0.25">
      <c r="B8" s="1" t="s">
        <v>5</v>
      </c>
      <c r="C8" s="1" t="s">
        <v>138</v>
      </c>
      <c r="D8" s="1" t="s">
        <v>284</v>
      </c>
      <c r="E8" s="10">
        <v>8</v>
      </c>
      <c r="F8" s="12">
        <v>0</v>
      </c>
      <c r="G8" s="12">
        <v>0</v>
      </c>
      <c r="K8" s="14" t="s">
        <v>14</v>
      </c>
      <c r="L8" s="14" t="s">
        <v>235</v>
      </c>
      <c r="M8" s="12">
        <v>8</v>
      </c>
    </row>
    <row r="9" spans="2:13" x14ac:dyDescent="0.25">
      <c r="B9" s="1" t="s">
        <v>47</v>
      </c>
      <c r="C9" s="1" t="s">
        <v>139</v>
      </c>
      <c r="D9" s="1" t="s">
        <v>284</v>
      </c>
      <c r="E9" s="10">
        <v>0</v>
      </c>
      <c r="F9" s="12">
        <v>0</v>
      </c>
      <c r="G9" s="12">
        <v>0</v>
      </c>
      <c r="K9" s="14" t="s">
        <v>13</v>
      </c>
      <c r="L9" s="14" t="s">
        <v>236</v>
      </c>
      <c r="M9" s="12">
        <v>8</v>
      </c>
    </row>
    <row r="10" spans="2:13" x14ac:dyDescent="0.25">
      <c r="B10" s="1" t="s">
        <v>48</v>
      </c>
      <c r="C10" s="1" t="s">
        <v>140</v>
      </c>
      <c r="D10" s="1" t="s">
        <v>284</v>
      </c>
      <c r="E10" s="10">
        <v>11</v>
      </c>
      <c r="F10" s="12">
        <v>0</v>
      </c>
      <c r="G10" s="12">
        <v>0</v>
      </c>
      <c r="K10" s="14" t="s">
        <v>20</v>
      </c>
      <c r="L10" s="14" t="s">
        <v>237</v>
      </c>
      <c r="M10" s="12">
        <v>12</v>
      </c>
    </row>
    <row r="11" spans="2:13" x14ac:dyDescent="0.25">
      <c r="B11" s="1" t="s">
        <v>49</v>
      </c>
      <c r="C11" s="1" t="s">
        <v>141</v>
      </c>
      <c r="D11" s="1" t="s">
        <v>284</v>
      </c>
      <c r="E11" s="10">
        <v>15</v>
      </c>
      <c r="F11" s="12">
        <v>0</v>
      </c>
      <c r="G11" s="12">
        <v>0</v>
      </c>
      <c r="K11" s="14" t="s">
        <v>19</v>
      </c>
      <c r="L11" s="14" t="s">
        <v>238</v>
      </c>
      <c r="M11" s="12">
        <v>18</v>
      </c>
    </row>
    <row r="12" spans="2:13" x14ac:dyDescent="0.25">
      <c r="B12" s="1" t="s">
        <v>50</v>
      </c>
      <c r="C12" s="1" t="s">
        <v>142</v>
      </c>
      <c r="D12" s="1" t="s">
        <v>284</v>
      </c>
      <c r="E12" s="10">
        <v>0</v>
      </c>
      <c r="F12" s="12">
        <v>0</v>
      </c>
      <c r="G12" s="12">
        <v>0</v>
      </c>
      <c r="K12" s="14" t="s">
        <v>18</v>
      </c>
      <c r="L12" s="14" t="s">
        <v>239</v>
      </c>
      <c r="M12" s="12">
        <v>12</v>
      </c>
    </row>
    <row r="13" spans="2:13" x14ac:dyDescent="0.25">
      <c r="B13" s="1" t="s">
        <v>51</v>
      </c>
      <c r="C13" s="1" t="s">
        <v>143</v>
      </c>
      <c r="D13" s="1" t="s">
        <v>284</v>
      </c>
      <c r="E13" s="10">
        <v>0</v>
      </c>
      <c r="F13" s="12">
        <v>0</v>
      </c>
      <c r="G13" s="12">
        <v>0</v>
      </c>
      <c r="K13" s="14" t="s">
        <v>7</v>
      </c>
      <c r="L13" s="14" t="s">
        <v>240</v>
      </c>
      <c r="M13" s="12">
        <v>8</v>
      </c>
    </row>
    <row r="14" spans="2:13" x14ac:dyDescent="0.25">
      <c r="B14" s="1" t="s">
        <v>52</v>
      </c>
      <c r="C14" s="1" t="s">
        <v>144</v>
      </c>
      <c r="D14" s="1" t="s">
        <v>284</v>
      </c>
      <c r="E14" s="10">
        <v>8</v>
      </c>
      <c r="F14" s="12">
        <v>0</v>
      </c>
      <c r="G14" s="12">
        <v>0</v>
      </c>
    </row>
    <row r="15" spans="2:13" x14ac:dyDescent="0.25">
      <c r="B15" s="1" t="s">
        <v>53</v>
      </c>
      <c r="C15" s="1" t="s">
        <v>145</v>
      </c>
      <c r="D15" s="1" t="s">
        <v>284</v>
      </c>
      <c r="E15" s="10">
        <v>0</v>
      </c>
      <c r="F15" s="12">
        <v>0</v>
      </c>
      <c r="G15" s="12">
        <v>0</v>
      </c>
    </row>
    <row r="16" spans="2:13" x14ac:dyDescent="0.25">
      <c r="B16" s="1" t="s">
        <v>8</v>
      </c>
      <c r="C16" s="1" t="s">
        <v>146</v>
      </c>
      <c r="D16" s="1" t="s">
        <v>284</v>
      </c>
      <c r="E16" s="10">
        <v>6</v>
      </c>
      <c r="F16" s="12">
        <v>0</v>
      </c>
      <c r="G16" s="12">
        <v>0</v>
      </c>
    </row>
    <row r="17" spans="2:7" x14ac:dyDescent="0.25">
      <c r="B17" s="1" t="s">
        <v>10</v>
      </c>
      <c r="C17" s="1" t="s">
        <v>147</v>
      </c>
      <c r="D17" s="1" t="s">
        <v>284</v>
      </c>
      <c r="E17" s="10">
        <v>0</v>
      </c>
      <c r="F17" s="12">
        <v>0</v>
      </c>
      <c r="G17" s="12">
        <v>0</v>
      </c>
    </row>
    <row r="18" spans="2:7" x14ac:dyDescent="0.25">
      <c r="B18" s="1" t="s">
        <v>54</v>
      </c>
      <c r="C18" s="1" t="s">
        <v>148</v>
      </c>
      <c r="D18" s="1" t="s">
        <v>284</v>
      </c>
      <c r="E18" s="10">
        <v>45</v>
      </c>
      <c r="F18" s="12">
        <v>0</v>
      </c>
      <c r="G18" s="12">
        <v>0</v>
      </c>
    </row>
    <row r="19" spans="2:7" x14ac:dyDescent="0.25">
      <c r="B19" s="1" t="s">
        <v>55</v>
      </c>
      <c r="C19" s="1" t="s">
        <v>149</v>
      </c>
      <c r="D19" s="1" t="s">
        <v>284</v>
      </c>
      <c r="E19" s="10">
        <v>0</v>
      </c>
      <c r="F19" s="12">
        <v>0</v>
      </c>
      <c r="G19" s="12">
        <v>0</v>
      </c>
    </row>
    <row r="20" spans="2:7" x14ac:dyDescent="0.25">
      <c r="B20" s="1" t="s">
        <v>56</v>
      </c>
      <c r="C20" s="1" t="s">
        <v>150</v>
      </c>
      <c r="D20" s="1" t="s">
        <v>284</v>
      </c>
      <c r="E20" s="10">
        <v>0</v>
      </c>
      <c r="F20" s="12">
        <v>0</v>
      </c>
      <c r="G20" s="12">
        <v>0</v>
      </c>
    </row>
    <row r="21" spans="2:7" x14ac:dyDescent="0.25">
      <c r="B21" s="1" t="s">
        <v>57</v>
      </c>
      <c r="C21" s="1" t="s">
        <v>151</v>
      </c>
      <c r="D21" s="1" t="s">
        <v>285</v>
      </c>
      <c r="E21" s="10">
        <v>1</v>
      </c>
      <c r="F21" s="12">
        <v>1</v>
      </c>
      <c r="G21" s="12"/>
    </row>
    <row r="22" spans="2:7" x14ac:dyDescent="0.25">
      <c r="B22" s="1" t="s">
        <v>58</v>
      </c>
      <c r="C22" s="1" t="s">
        <v>152</v>
      </c>
      <c r="D22" s="1" t="s">
        <v>285</v>
      </c>
      <c r="E22" s="10">
        <v>1</v>
      </c>
      <c r="F22" s="12">
        <v>1</v>
      </c>
      <c r="G22" s="12">
        <v>8</v>
      </c>
    </row>
    <row r="23" spans="2:7" x14ac:dyDescent="0.25">
      <c r="B23" s="1" t="s">
        <v>59</v>
      </c>
      <c r="C23" s="1" t="s">
        <v>153</v>
      </c>
      <c r="D23" s="1" t="s">
        <v>285</v>
      </c>
      <c r="E23" s="10">
        <v>1</v>
      </c>
      <c r="F23" s="12">
        <v>1</v>
      </c>
      <c r="G23" s="12">
        <v>8</v>
      </c>
    </row>
    <row r="24" spans="2:7" x14ac:dyDescent="0.25">
      <c r="B24" s="1" t="s">
        <v>60</v>
      </c>
      <c r="C24" s="1" t="s">
        <v>154</v>
      </c>
      <c r="D24" s="1" t="s">
        <v>285</v>
      </c>
      <c r="E24" s="10">
        <v>1</v>
      </c>
      <c r="F24" s="12">
        <v>1</v>
      </c>
      <c r="G24" s="12">
        <v>8</v>
      </c>
    </row>
    <row r="25" spans="2:7" x14ac:dyDescent="0.25">
      <c r="B25" s="1" t="s">
        <v>61</v>
      </c>
      <c r="C25" s="1" t="s">
        <v>155</v>
      </c>
      <c r="D25" s="1" t="s">
        <v>285</v>
      </c>
      <c r="E25" s="10">
        <v>0</v>
      </c>
      <c r="F25" s="12">
        <v>1</v>
      </c>
      <c r="G25" s="12">
        <v>8</v>
      </c>
    </row>
    <row r="26" spans="2:7" x14ac:dyDescent="0.25">
      <c r="B26" s="1" t="s">
        <v>62</v>
      </c>
      <c r="C26" s="1" t="s">
        <v>156</v>
      </c>
      <c r="D26" s="1" t="s">
        <v>285</v>
      </c>
      <c r="E26" s="10">
        <v>1</v>
      </c>
      <c r="F26" s="12">
        <v>1</v>
      </c>
      <c r="G26" s="12">
        <v>8</v>
      </c>
    </row>
    <row r="27" spans="2:7" x14ac:dyDescent="0.25">
      <c r="B27" s="1" t="s">
        <v>63</v>
      </c>
      <c r="C27" s="1" t="s">
        <v>157</v>
      </c>
      <c r="D27" s="1" t="s">
        <v>285</v>
      </c>
      <c r="E27" s="10">
        <v>0</v>
      </c>
      <c r="F27" s="12">
        <v>1</v>
      </c>
      <c r="G27" s="12">
        <v>8</v>
      </c>
    </row>
    <row r="28" spans="2:7" x14ac:dyDescent="0.25">
      <c r="B28" s="1" t="s">
        <v>64</v>
      </c>
      <c r="C28" s="1" t="s">
        <v>158</v>
      </c>
      <c r="D28" s="1" t="s">
        <v>285</v>
      </c>
      <c r="E28" s="10">
        <v>1</v>
      </c>
      <c r="F28" s="12">
        <v>1</v>
      </c>
      <c r="G28" s="12">
        <v>8</v>
      </c>
    </row>
    <row r="29" spans="2:7" x14ac:dyDescent="0.25">
      <c r="B29" s="1" t="s">
        <v>65</v>
      </c>
      <c r="C29" s="1" t="s">
        <v>159</v>
      </c>
      <c r="D29" s="1" t="s">
        <v>285</v>
      </c>
      <c r="E29" s="10">
        <v>1</v>
      </c>
      <c r="F29" s="12">
        <v>1</v>
      </c>
      <c r="G29" s="12">
        <v>8</v>
      </c>
    </row>
    <row r="30" spans="2:7" x14ac:dyDescent="0.25">
      <c r="B30" s="1" t="s">
        <v>66</v>
      </c>
      <c r="C30" s="1" t="s">
        <v>160</v>
      </c>
      <c r="D30" s="1" t="s">
        <v>285</v>
      </c>
      <c r="E30" s="10">
        <v>1</v>
      </c>
      <c r="F30" s="12">
        <v>1</v>
      </c>
      <c r="G30" s="12">
        <v>8</v>
      </c>
    </row>
    <row r="31" spans="2:7" x14ac:dyDescent="0.25">
      <c r="B31" s="1" t="s">
        <v>67</v>
      </c>
      <c r="C31" s="1" t="s">
        <v>161</v>
      </c>
      <c r="D31" s="1" t="s">
        <v>285</v>
      </c>
      <c r="E31" s="10">
        <v>0</v>
      </c>
      <c r="F31" s="12">
        <v>1</v>
      </c>
      <c r="G31" s="12">
        <v>8</v>
      </c>
    </row>
    <row r="32" spans="2:7" x14ac:dyDescent="0.25">
      <c r="B32" s="1" t="s">
        <v>68</v>
      </c>
      <c r="C32" s="1" t="s">
        <v>162</v>
      </c>
      <c r="D32" s="1" t="s">
        <v>285</v>
      </c>
      <c r="E32" s="10">
        <v>0</v>
      </c>
      <c r="F32" s="12">
        <v>1</v>
      </c>
      <c r="G32" s="12">
        <v>8</v>
      </c>
    </row>
    <row r="33" spans="2:7" x14ac:dyDescent="0.25">
      <c r="B33" s="1" t="s">
        <v>69</v>
      </c>
      <c r="C33" s="1" t="s">
        <v>163</v>
      </c>
      <c r="D33" s="1" t="s">
        <v>285</v>
      </c>
      <c r="E33" s="10">
        <v>0</v>
      </c>
      <c r="F33" s="12">
        <v>1</v>
      </c>
      <c r="G33" s="12">
        <v>8</v>
      </c>
    </row>
    <row r="34" spans="2:7" x14ac:dyDescent="0.25">
      <c r="B34" s="1" t="s">
        <v>70</v>
      </c>
      <c r="C34" s="1" t="s">
        <v>164</v>
      </c>
      <c r="D34" s="1" t="s">
        <v>285</v>
      </c>
      <c r="E34" s="10">
        <v>0</v>
      </c>
      <c r="F34" s="12">
        <v>1</v>
      </c>
      <c r="G34" s="12">
        <v>8</v>
      </c>
    </row>
    <row r="35" spans="2:7" x14ac:dyDescent="0.25">
      <c r="B35" s="1" t="s">
        <v>71</v>
      </c>
      <c r="C35" s="1" t="s">
        <v>165</v>
      </c>
      <c r="D35" s="1" t="s">
        <v>285</v>
      </c>
      <c r="E35" s="10">
        <v>0</v>
      </c>
      <c r="F35" s="12">
        <v>1</v>
      </c>
      <c r="G35" s="12">
        <v>8</v>
      </c>
    </row>
    <row r="36" spans="2:7" x14ac:dyDescent="0.25">
      <c r="B36" s="1" t="s">
        <v>72</v>
      </c>
      <c r="C36" s="1" t="s">
        <v>166</v>
      </c>
      <c r="D36" s="1" t="s">
        <v>285</v>
      </c>
      <c r="E36" s="10">
        <v>0</v>
      </c>
      <c r="F36" s="12">
        <v>1</v>
      </c>
      <c r="G36" s="12">
        <v>8</v>
      </c>
    </row>
    <row r="37" spans="2:7" x14ac:dyDescent="0.25">
      <c r="B37" s="1" t="s">
        <v>73</v>
      </c>
      <c r="C37" s="1" t="s">
        <v>167</v>
      </c>
      <c r="D37" s="1" t="s">
        <v>285</v>
      </c>
      <c r="E37" s="10">
        <v>0</v>
      </c>
      <c r="F37" s="12">
        <v>1</v>
      </c>
      <c r="G37" s="12">
        <v>8</v>
      </c>
    </row>
    <row r="38" spans="2:7" x14ac:dyDescent="0.25">
      <c r="B38" s="1" t="s">
        <v>74</v>
      </c>
      <c r="C38" s="1" t="s">
        <v>168</v>
      </c>
      <c r="D38" s="1" t="s">
        <v>285</v>
      </c>
      <c r="E38" s="10">
        <v>0</v>
      </c>
      <c r="F38" s="12">
        <v>1</v>
      </c>
      <c r="G38" s="12">
        <v>8</v>
      </c>
    </row>
    <row r="39" spans="2:7" x14ac:dyDescent="0.25">
      <c r="B39" s="1" t="s">
        <v>75</v>
      </c>
      <c r="C39" s="1" t="s">
        <v>169</v>
      </c>
      <c r="D39" s="1" t="s">
        <v>285</v>
      </c>
      <c r="E39" s="10">
        <v>0</v>
      </c>
      <c r="F39" s="12">
        <v>1</v>
      </c>
      <c r="G39" s="12">
        <v>8</v>
      </c>
    </row>
    <row r="40" spans="2:7" x14ac:dyDescent="0.25">
      <c r="B40" s="1" t="s">
        <v>76</v>
      </c>
      <c r="C40" s="1" t="s">
        <v>170</v>
      </c>
      <c r="D40" s="1" t="s">
        <v>285</v>
      </c>
      <c r="E40" s="10">
        <v>0</v>
      </c>
      <c r="F40" s="12">
        <v>1</v>
      </c>
      <c r="G40" s="12">
        <v>8</v>
      </c>
    </row>
    <row r="41" spans="2:7" x14ac:dyDescent="0.25">
      <c r="B41" s="1" t="s">
        <v>77</v>
      </c>
      <c r="C41" s="1" t="s">
        <v>171</v>
      </c>
      <c r="D41" s="1" t="s">
        <v>285</v>
      </c>
      <c r="E41" s="10">
        <v>0</v>
      </c>
      <c r="F41" s="12">
        <v>1</v>
      </c>
      <c r="G41" s="12">
        <v>8</v>
      </c>
    </row>
    <row r="42" spans="2:7" x14ac:dyDescent="0.25">
      <c r="B42" s="1" t="s">
        <v>78</v>
      </c>
      <c r="C42" s="1" t="s">
        <v>172</v>
      </c>
      <c r="D42" s="1" t="s">
        <v>285</v>
      </c>
      <c r="E42" s="10">
        <v>0</v>
      </c>
      <c r="F42" s="12">
        <v>1</v>
      </c>
      <c r="G42" s="12">
        <v>8</v>
      </c>
    </row>
    <row r="43" spans="2:7" x14ac:dyDescent="0.25">
      <c r="B43" s="1" t="s">
        <v>79</v>
      </c>
      <c r="C43" s="1" t="s">
        <v>173</v>
      </c>
      <c r="D43" s="1" t="s">
        <v>285</v>
      </c>
      <c r="E43" s="10">
        <v>0</v>
      </c>
      <c r="F43" s="12">
        <v>1</v>
      </c>
      <c r="G43" s="12">
        <v>8</v>
      </c>
    </row>
    <row r="44" spans="2:7" x14ac:dyDescent="0.25">
      <c r="B44" s="1" t="s">
        <v>80</v>
      </c>
      <c r="C44" s="1" t="s">
        <v>174</v>
      </c>
      <c r="D44" s="1" t="s">
        <v>285</v>
      </c>
      <c r="E44" s="10">
        <v>0</v>
      </c>
      <c r="F44" s="12">
        <v>1</v>
      </c>
      <c r="G44" s="12">
        <v>8</v>
      </c>
    </row>
    <row r="45" spans="2:7" ht="25" x14ac:dyDescent="0.25">
      <c r="B45" s="1" t="s">
        <v>81</v>
      </c>
      <c r="C45" s="1" t="s">
        <v>175</v>
      </c>
      <c r="D45" s="1" t="s">
        <v>285</v>
      </c>
      <c r="E45" s="10">
        <v>0</v>
      </c>
      <c r="F45" s="12">
        <v>1</v>
      </c>
      <c r="G45" s="12">
        <v>8</v>
      </c>
    </row>
    <row r="46" spans="2:7" x14ac:dyDescent="0.25">
      <c r="B46" s="1" t="s">
        <v>82</v>
      </c>
      <c r="C46" s="1" t="s">
        <v>176</v>
      </c>
      <c r="D46" s="1" t="s">
        <v>285</v>
      </c>
      <c r="E46" s="10">
        <v>0</v>
      </c>
      <c r="F46" s="12">
        <v>1</v>
      </c>
      <c r="G46" s="12">
        <v>8</v>
      </c>
    </row>
    <row r="47" spans="2:7" x14ac:dyDescent="0.25">
      <c r="B47" s="1" t="s">
        <v>83</v>
      </c>
      <c r="C47" s="1" t="s">
        <v>177</v>
      </c>
      <c r="D47" s="1" t="s">
        <v>285</v>
      </c>
      <c r="E47" s="10">
        <v>0</v>
      </c>
      <c r="F47" s="12">
        <v>1</v>
      </c>
      <c r="G47" s="12">
        <v>8</v>
      </c>
    </row>
    <row r="48" spans="2:7" x14ac:dyDescent="0.25">
      <c r="B48" s="1" t="s">
        <v>84</v>
      </c>
      <c r="C48" s="1" t="s">
        <v>178</v>
      </c>
      <c r="D48" s="1" t="s">
        <v>285</v>
      </c>
      <c r="E48" s="10">
        <v>0</v>
      </c>
      <c r="F48" s="12">
        <v>1</v>
      </c>
      <c r="G48" s="12">
        <v>8</v>
      </c>
    </row>
    <row r="49" spans="2:7" x14ac:dyDescent="0.25">
      <c r="B49" s="1" t="s">
        <v>85</v>
      </c>
      <c r="C49" s="1" t="s">
        <v>179</v>
      </c>
      <c r="D49" s="1" t="s">
        <v>285</v>
      </c>
      <c r="E49" s="10">
        <v>0</v>
      </c>
      <c r="F49" s="12">
        <v>1</v>
      </c>
      <c r="G49" s="12">
        <v>8</v>
      </c>
    </row>
    <row r="50" spans="2:7" x14ac:dyDescent="0.25">
      <c r="B50" s="1" t="s">
        <v>86</v>
      </c>
      <c r="C50" s="1" t="s">
        <v>180</v>
      </c>
      <c r="D50" s="1" t="s">
        <v>285</v>
      </c>
      <c r="E50" s="10">
        <v>1</v>
      </c>
      <c r="F50" s="12">
        <v>1</v>
      </c>
      <c r="G50" s="12">
        <v>8</v>
      </c>
    </row>
    <row r="51" spans="2:7" x14ac:dyDescent="0.25">
      <c r="B51" s="1" t="s">
        <v>87</v>
      </c>
      <c r="C51" s="1" t="s">
        <v>181</v>
      </c>
      <c r="D51" s="1" t="s">
        <v>285</v>
      </c>
      <c r="E51" s="10">
        <v>1</v>
      </c>
      <c r="F51" s="12">
        <v>1</v>
      </c>
      <c r="G51" s="12">
        <v>8</v>
      </c>
    </row>
    <row r="52" spans="2:7" x14ac:dyDescent="0.25">
      <c r="B52" s="1" t="s">
        <v>88</v>
      </c>
      <c r="C52" s="1" t="s">
        <v>182</v>
      </c>
      <c r="D52" s="1" t="s">
        <v>285</v>
      </c>
      <c r="E52" s="10">
        <v>1</v>
      </c>
      <c r="F52" s="12">
        <v>1</v>
      </c>
      <c r="G52" s="12">
        <v>8</v>
      </c>
    </row>
    <row r="53" spans="2:7" x14ac:dyDescent="0.25">
      <c r="B53" s="1" t="s">
        <v>89</v>
      </c>
      <c r="C53" s="1" t="s">
        <v>183</v>
      </c>
      <c r="D53" s="1" t="s">
        <v>285</v>
      </c>
      <c r="E53" s="10">
        <v>0</v>
      </c>
      <c r="F53" s="12">
        <v>1</v>
      </c>
      <c r="G53" s="12">
        <v>8</v>
      </c>
    </row>
    <row r="54" spans="2:7" x14ac:dyDescent="0.25">
      <c r="B54" s="1" t="s">
        <v>90</v>
      </c>
      <c r="C54" s="1" t="s">
        <v>184</v>
      </c>
      <c r="D54" s="1" t="s">
        <v>285</v>
      </c>
      <c r="E54" s="10">
        <v>1</v>
      </c>
      <c r="F54" s="12">
        <v>1</v>
      </c>
      <c r="G54" s="12">
        <v>8</v>
      </c>
    </row>
    <row r="55" spans="2:7" x14ac:dyDescent="0.25">
      <c r="B55" s="1" t="s">
        <v>91</v>
      </c>
      <c r="C55" s="1" t="s">
        <v>185</v>
      </c>
      <c r="D55" s="1" t="s">
        <v>285</v>
      </c>
      <c r="E55" s="10">
        <v>1</v>
      </c>
      <c r="F55" s="12">
        <v>1</v>
      </c>
      <c r="G55" s="12">
        <v>8</v>
      </c>
    </row>
    <row r="56" spans="2:7" x14ac:dyDescent="0.25">
      <c r="B56" s="1" t="s">
        <v>92</v>
      </c>
      <c r="C56" s="1" t="s">
        <v>186</v>
      </c>
      <c r="D56" s="1" t="s">
        <v>285</v>
      </c>
      <c r="E56" s="10">
        <v>0</v>
      </c>
      <c r="F56" s="12">
        <v>1</v>
      </c>
      <c r="G56" s="12">
        <v>8</v>
      </c>
    </row>
    <row r="57" spans="2:7" x14ac:dyDescent="0.25">
      <c r="B57" s="1" t="s">
        <v>93</v>
      </c>
      <c r="C57" s="1" t="s">
        <v>187</v>
      </c>
      <c r="D57" s="1" t="s">
        <v>285</v>
      </c>
      <c r="E57" s="10">
        <v>0</v>
      </c>
      <c r="F57" s="12">
        <v>1</v>
      </c>
      <c r="G57" s="12">
        <v>8</v>
      </c>
    </row>
    <row r="58" spans="2:7" x14ac:dyDescent="0.25">
      <c r="B58" s="1" t="s">
        <v>94</v>
      </c>
      <c r="C58" s="1" t="s">
        <v>188</v>
      </c>
      <c r="D58" s="1" t="s">
        <v>285</v>
      </c>
      <c r="E58" s="10">
        <v>0</v>
      </c>
      <c r="F58" s="12">
        <v>1</v>
      </c>
      <c r="G58" s="12">
        <v>8</v>
      </c>
    </row>
    <row r="59" spans="2:7" x14ac:dyDescent="0.25">
      <c r="B59" s="1" t="s">
        <v>95</v>
      </c>
      <c r="C59" s="1" t="s">
        <v>189</v>
      </c>
      <c r="D59" s="1" t="s">
        <v>285</v>
      </c>
      <c r="E59" s="10">
        <v>1</v>
      </c>
      <c r="F59" s="12">
        <v>1</v>
      </c>
      <c r="G59" s="12">
        <v>8</v>
      </c>
    </row>
    <row r="60" spans="2:7" x14ac:dyDescent="0.25">
      <c r="B60" s="1" t="s">
        <v>96</v>
      </c>
      <c r="C60" s="1" t="s">
        <v>190</v>
      </c>
      <c r="D60" s="1" t="s">
        <v>285</v>
      </c>
      <c r="E60" s="10">
        <v>1</v>
      </c>
      <c r="F60" s="12">
        <v>1</v>
      </c>
      <c r="G60" s="12">
        <v>8</v>
      </c>
    </row>
    <row r="61" spans="2:7" x14ac:dyDescent="0.25">
      <c r="B61" s="1" t="s">
        <v>97</v>
      </c>
      <c r="C61" s="1" t="s">
        <v>191</v>
      </c>
      <c r="D61" s="1" t="s">
        <v>285</v>
      </c>
      <c r="E61" s="10">
        <v>1</v>
      </c>
      <c r="F61" s="12">
        <v>1</v>
      </c>
      <c r="G61" s="12">
        <v>8</v>
      </c>
    </row>
    <row r="62" spans="2:7" x14ac:dyDescent="0.25">
      <c r="B62" s="1" t="s">
        <v>98</v>
      </c>
      <c r="C62" s="1" t="s">
        <v>192</v>
      </c>
      <c r="D62" s="1" t="s">
        <v>285</v>
      </c>
      <c r="E62" s="10">
        <v>1</v>
      </c>
      <c r="F62" s="12">
        <v>1</v>
      </c>
      <c r="G62" s="12">
        <v>8</v>
      </c>
    </row>
    <row r="63" spans="2:7" x14ac:dyDescent="0.25">
      <c r="B63" s="1" t="s">
        <v>99</v>
      </c>
      <c r="C63" s="1" t="s">
        <v>193</v>
      </c>
      <c r="D63" s="1" t="s">
        <v>285</v>
      </c>
      <c r="E63" s="10">
        <v>1</v>
      </c>
      <c r="F63" s="12">
        <v>1</v>
      </c>
      <c r="G63" s="12">
        <v>8</v>
      </c>
    </row>
    <row r="64" spans="2:7" x14ac:dyDescent="0.25">
      <c r="B64" s="1" t="s">
        <v>100</v>
      </c>
      <c r="C64" s="1" t="s">
        <v>194</v>
      </c>
      <c r="D64" s="1" t="s">
        <v>285</v>
      </c>
      <c r="E64" s="10">
        <v>0</v>
      </c>
      <c r="F64" s="12">
        <v>1</v>
      </c>
      <c r="G64" s="12">
        <v>8</v>
      </c>
    </row>
    <row r="65" spans="2:7" x14ac:dyDescent="0.25">
      <c r="B65" s="1" t="s">
        <v>101</v>
      </c>
      <c r="C65" s="1" t="s">
        <v>195</v>
      </c>
      <c r="D65" s="1" t="s">
        <v>285</v>
      </c>
      <c r="E65" s="10">
        <v>0</v>
      </c>
      <c r="F65" s="12">
        <v>1</v>
      </c>
      <c r="G65" s="12">
        <v>8</v>
      </c>
    </row>
    <row r="66" spans="2:7" x14ac:dyDescent="0.25">
      <c r="B66" s="1" t="s">
        <v>102</v>
      </c>
      <c r="C66" s="1" t="s">
        <v>196</v>
      </c>
      <c r="D66" s="1" t="s">
        <v>285</v>
      </c>
      <c r="E66" s="10">
        <v>0</v>
      </c>
      <c r="F66" s="12">
        <v>1</v>
      </c>
      <c r="G66" s="12">
        <v>8</v>
      </c>
    </row>
    <row r="67" spans="2:7" x14ac:dyDescent="0.25">
      <c r="B67" s="1" t="s">
        <v>103</v>
      </c>
      <c r="C67" s="1" t="s">
        <v>197</v>
      </c>
      <c r="D67" s="1" t="s">
        <v>285</v>
      </c>
      <c r="E67" s="10">
        <v>1</v>
      </c>
      <c r="F67" s="12">
        <v>1</v>
      </c>
      <c r="G67" s="12">
        <v>8</v>
      </c>
    </row>
    <row r="68" spans="2:7" x14ac:dyDescent="0.25">
      <c r="B68" s="1" t="s">
        <v>104</v>
      </c>
      <c r="C68" s="1" t="s">
        <v>198</v>
      </c>
      <c r="D68" s="1" t="s">
        <v>285</v>
      </c>
      <c r="E68" s="10">
        <v>1</v>
      </c>
      <c r="F68" s="12">
        <v>1</v>
      </c>
      <c r="G68" s="12">
        <v>8</v>
      </c>
    </row>
    <row r="69" spans="2:7" x14ac:dyDescent="0.25">
      <c r="B69" s="1" t="s">
        <v>105</v>
      </c>
      <c r="C69" s="1" t="s">
        <v>199</v>
      </c>
      <c r="D69" s="1" t="s">
        <v>285</v>
      </c>
      <c r="E69" s="10">
        <v>0</v>
      </c>
      <c r="F69" s="12">
        <v>1</v>
      </c>
      <c r="G69" s="12">
        <v>8</v>
      </c>
    </row>
    <row r="70" spans="2:7" x14ac:dyDescent="0.25">
      <c r="B70" s="1" t="s">
        <v>106</v>
      </c>
      <c r="C70" s="1" t="s">
        <v>200</v>
      </c>
      <c r="D70" s="1" t="s">
        <v>285</v>
      </c>
      <c r="E70" s="10">
        <v>0</v>
      </c>
      <c r="F70" s="12">
        <v>1</v>
      </c>
      <c r="G70" s="12">
        <v>8</v>
      </c>
    </row>
    <row r="71" spans="2:7" x14ac:dyDescent="0.25">
      <c r="B71" s="1" t="s">
        <v>107</v>
      </c>
      <c r="C71" s="1" t="s">
        <v>201</v>
      </c>
      <c r="D71" s="1" t="s">
        <v>285</v>
      </c>
      <c r="E71" s="10">
        <v>0</v>
      </c>
      <c r="F71" s="12">
        <v>1</v>
      </c>
      <c r="G71" s="12">
        <v>8</v>
      </c>
    </row>
    <row r="72" spans="2:7" x14ac:dyDescent="0.25">
      <c r="B72" s="1" t="s">
        <v>108</v>
      </c>
      <c r="C72" s="1" t="s">
        <v>202</v>
      </c>
      <c r="D72" s="1" t="s">
        <v>285</v>
      </c>
      <c r="E72" s="10">
        <v>0</v>
      </c>
      <c r="F72" s="12">
        <v>1</v>
      </c>
      <c r="G72" s="12">
        <v>8</v>
      </c>
    </row>
    <row r="73" spans="2:7" x14ac:dyDescent="0.25">
      <c r="B73" s="1" t="s">
        <v>109</v>
      </c>
      <c r="C73" s="1" t="s">
        <v>203</v>
      </c>
      <c r="D73" s="1" t="s">
        <v>285</v>
      </c>
      <c r="E73" s="10">
        <v>0</v>
      </c>
      <c r="F73" s="12">
        <v>1</v>
      </c>
      <c r="G73" s="12">
        <v>8</v>
      </c>
    </row>
    <row r="74" spans="2:7" x14ac:dyDescent="0.25">
      <c r="B74" s="1" t="s">
        <v>110</v>
      </c>
      <c r="C74" s="1" t="s">
        <v>204</v>
      </c>
      <c r="D74" s="1" t="s">
        <v>285</v>
      </c>
      <c r="E74" s="10">
        <v>0</v>
      </c>
      <c r="F74" s="12">
        <v>1</v>
      </c>
      <c r="G74" s="12">
        <v>8</v>
      </c>
    </row>
    <row r="75" spans="2:7" x14ac:dyDescent="0.25">
      <c r="B75" s="1" t="s">
        <v>111</v>
      </c>
      <c r="C75" s="1" t="s">
        <v>205</v>
      </c>
      <c r="D75" s="1" t="s">
        <v>285</v>
      </c>
      <c r="E75" s="10">
        <v>0</v>
      </c>
      <c r="F75" s="12">
        <v>1</v>
      </c>
      <c r="G75" s="12">
        <v>8</v>
      </c>
    </row>
    <row r="76" spans="2:7" x14ac:dyDescent="0.25">
      <c r="B76" s="1" t="s">
        <v>112</v>
      </c>
      <c r="C76" s="1" t="s">
        <v>206</v>
      </c>
      <c r="D76" s="1" t="s">
        <v>285</v>
      </c>
      <c r="E76" s="10">
        <v>1</v>
      </c>
      <c r="F76" s="12">
        <v>1</v>
      </c>
      <c r="G76" s="12">
        <v>8</v>
      </c>
    </row>
    <row r="77" spans="2:7" x14ac:dyDescent="0.25">
      <c r="B77" s="1" t="s">
        <v>113</v>
      </c>
      <c r="C77" s="1" t="s">
        <v>207</v>
      </c>
      <c r="D77" s="1" t="s">
        <v>285</v>
      </c>
      <c r="E77" s="10">
        <v>0</v>
      </c>
      <c r="F77" s="12">
        <v>1</v>
      </c>
      <c r="G77" s="12">
        <v>8</v>
      </c>
    </row>
    <row r="78" spans="2:7" x14ac:dyDescent="0.25">
      <c r="B78" s="1" t="s">
        <v>114</v>
      </c>
      <c r="C78" s="1" t="s">
        <v>208</v>
      </c>
      <c r="D78" s="1" t="s">
        <v>285</v>
      </c>
      <c r="E78" s="10">
        <v>1</v>
      </c>
      <c r="F78" s="12">
        <v>1</v>
      </c>
      <c r="G78" s="12">
        <v>8</v>
      </c>
    </row>
    <row r="79" spans="2:7" x14ac:dyDescent="0.25">
      <c r="B79" s="1" t="s">
        <v>115</v>
      </c>
      <c r="C79" s="1" t="s">
        <v>209</v>
      </c>
      <c r="D79" s="1" t="s">
        <v>285</v>
      </c>
      <c r="E79" s="10">
        <v>0</v>
      </c>
      <c r="F79" s="12">
        <v>1</v>
      </c>
      <c r="G79" s="12">
        <v>8</v>
      </c>
    </row>
    <row r="80" spans="2:7" x14ac:dyDescent="0.25">
      <c r="B80" s="1" t="s">
        <v>116</v>
      </c>
      <c r="C80" s="1" t="s">
        <v>210</v>
      </c>
      <c r="D80" s="1" t="s">
        <v>285</v>
      </c>
      <c r="E80" s="10">
        <v>0</v>
      </c>
      <c r="F80" s="12">
        <v>1</v>
      </c>
      <c r="G80" s="12">
        <v>8</v>
      </c>
    </row>
    <row r="81" spans="2:7" x14ac:dyDescent="0.25">
      <c r="B81" s="1" t="s">
        <v>117</v>
      </c>
      <c r="C81" s="1" t="s">
        <v>211</v>
      </c>
      <c r="D81" s="1" t="s">
        <v>285</v>
      </c>
      <c r="E81" s="10">
        <v>0</v>
      </c>
      <c r="F81" s="12">
        <v>1</v>
      </c>
      <c r="G81" s="12">
        <v>8</v>
      </c>
    </row>
    <row r="82" spans="2:7" x14ac:dyDescent="0.25">
      <c r="B82" s="1" t="s">
        <v>118</v>
      </c>
      <c r="C82" s="1" t="s">
        <v>212</v>
      </c>
      <c r="D82" s="1" t="s">
        <v>285</v>
      </c>
      <c r="E82" s="10">
        <v>0</v>
      </c>
      <c r="F82" s="12">
        <v>1</v>
      </c>
      <c r="G82" s="12">
        <v>8</v>
      </c>
    </row>
    <row r="83" spans="2:7" x14ac:dyDescent="0.25">
      <c r="B83" s="1" t="s">
        <v>119</v>
      </c>
      <c r="C83" s="1" t="s">
        <v>213</v>
      </c>
      <c r="D83" s="1" t="s">
        <v>285</v>
      </c>
      <c r="E83" s="10">
        <v>0</v>
      </c>
      <c r="F83" s="12">
        <v>1</v>
      </c>
      <c r="G83" s="12">
        <v>8</v>
      </c>
    </row>
    <row r="84" spans="2:7" x14ac:dyDescent="0.25">
      <c r="B84" s="1" t="s">
        <v>120</v>
      </c>
      <c r="C84" s="1" t="s">
        <v>214</v>
      </c>
      <c r="D84" s="1" t="s">
        <v>285</v>
      </c>
      <c r="E84" s="10">
        <v>0</v>
      </c>
      <c r="F84" s="12">
        <v>1</v>
      </c>
      <c r="G84" s="12">
        <v>8</v>
      </c>
    </row>
    <row r="85" spans="2:7" x14ac:dyDescent="0.25">
      <c r="B85" s="1" t="s">
        <v>121</v>
      </c>
      <c r="C85" s="1" t="s">
        <v>215</v>
      </c>
      <c r="D85" s="1" t="s">
        <v>285</v>
      </c>
      <c r="E85" s="10">
        <v>0</v>
      </c>
      <c r="F85" s="12">
        <v>1</v>
      </c>
      <c r="G85" s="12">
        <v>8</v>
      </c>
    </row>
    <row r="86" spans="2:7" x14ac:dyDescent="0.25">
      <c r="B86" s="1" t="s">
        <v>122</v>
      </c>
      <c r="C86" s="1" t="s">
        <v>216</v>
      </c>
      <c r="D86" s="1" t="s">
        <v>285</v>
      </c>
      <c r="E86" s="10">
        <v>0</v>
      </c>
      <c r="F86" s="12">
        <v>1</v>
      </c>
      <c r="G86" s="12">
        <v>8</v>
      </c>
    </row>
    <row r="87" spans="2:7" x14ac:dyDescent="0.25">
      <c r="B87" s="1" t="s">
        <v>123</v>
      </c>
      <c r="C87" s="1" t="s">
        <v>217</v>
      </c>
      <c r="D87" s="1" t="s">
        <v>285</v>
      </c>
      <c r="E87" s="10">
        <v>0</v>
      </c>
      <c r="F87" s="12">
        <v>1</v>
      </c>
      <c r="G87" s="12">
        <v>8</v>
      </c>
    </row>
    <row r="88" spans="2:7" x14ac:dyDescent="0.25">
      <c r="B88" s="1" t="s">
        <v>124</v>
      </c>
      <c r="C88" s="1" t="s">
        <v>218</v>
      </c>
      <c r="D88" s="1" t="s">
        <v>285</v>
      </c>
      <c r="E88" s="10">
        <v>0</v>
      </c>
      <c r="F88" s="12">
        <v>1</v>
      </c>
      <c r="G88" s="12">
        <v>8</v>
      </c>
    </row>
    <row r="89" spans="2:7" x14ac:dyDescent="0.25">
      <c r="B89" s="1" t="s">
        <v>125</v>
      </c>
      <c r="C89" s="1" t="s">
        <v>219</v>
      </c>
      <c r="D89" s="1" t="s">
        <v>285</v>
      </c>
      <c r="E89" s="10">
        <v>0</v>
      </c>
      <c r="F89" s="12">
        <v>1</v>
      </c>
      <c r="G89" s="12">
        <v>8</v>
      </c>
    </row>
    <row r="90" spans="2:7" x14ac:dyDescent="0.25">
      <c r="B90" s="1" t="s">
        <v>126</v>
      </c>
      <c r="C90" s="1" t="s">
        <v>220</v>
      </c>
      <c r="D90" s="1" t="s">
        <v>285</v>
      </c>
      <c r="E90" s="10">
        <v>0</v>
      </c>
      <c r="F90" s="12">
        <v>1</v>
      </c>
      <c r="G90" s="12">
        <v>8</v>
      </c>
    </row>
    <row r="91" spans="2:7" x14ac:dyDescent="0.25">
      <c r="B91" s="1" t="s">
        <v>127</v>
      </c>
      <c r="C91" s="1" t="s">
        <v>221</v>
      </c>
      <c r="D91" s="1" t="s">
        <v>285</v>
      </c>
      <c r="E91" s="10">
        <v>0</v>
      </c>
      <c r="F91" s="12">
        <v>1</v>
      </c>
      <c r="G91" s="12">
        <v>8</v>
      </c>
    </row>
    <row r="92" spans="2:7" x14ac:dyDescent="0.25">
      <c r="B92" s="1" t="s">
        <v>128</v>
      </c>
      <c r="C92" s="1" t="s">
        <v>222</v>
      </c>
      <c r="D92" s="1" t="s">
        <v>285</v>
      </c>
      <c r="E92" s="10">
        <v>0</v>
      </c>
      <c r="F92" s="12">
        <v>1</v>
      </c>
      <c r="G92" s="12">
        <v>8</v>
      </c>
    </row>
    <row r="93" spans="2:7" x14ac:dyDescent="0.25">
      <c r="B93" s="1" t="s">
        <v>129</v>
      </c>
      <c r="C93" s="1" t="s">
        <v>223</v>
      </c>
      <c r="D93" s="1" t="s">
        <v>285</v>
      </c>
      <c r="E93" s="10">
        <v>0</v>
      </c>
      <c r="F93" s="12">
        <v>1</v>
      </c>
      <c r="G93" s="12">
        <v>8</v>
      </c>
    </row>
    <row r="94" spans="2:7" x14ac:dyDescent="0.25">
      <c r="B94" s="1" t="s">
        <v>130</v>
      </c>
      <c r="C94" s="1" t="s">
        <v>224</v>
      </c>
      <c r="D94" s="1" t="s">
        <v>285</v>
      </c>
      <c r="E94" s="10">
        <v>0</v>
      </c>
      <c r="F94" s="12">
        <v>1</v>
      </c>
      <c r="G94" s="12">
        <v>8</v>
      </c>
    </row>
    <row r="95" spans="2:7" x14ac:dyDescent="0.25">
      <c r="B95" s="1" t="s">
        <v>131</v>
      </c>
      <c r="C95" s="1" t="s">
        <v>225</v>
      </c>
      <c r="D95" s="1" t="s">
        <v>285</v>
      </c>
      <c r="E95" s="10">
        <v>0</v>
      </c>
      <c r="F95" s="12">
        <v>1</v>
      </c>
      <c r="G95" s="12">
        <v>8</v>
      </c>
    </row>
    <row r="96" spans="2:7" x14ac:dyDescent="0.25">
      <c r="B96" s="1" t="s">
        <v>132</v>
      </c>
      <c r="C96" s="1" t="s">
        <v>226</v>
      </c>
      <c r="D96" s="1" t="s">
        <v>285</v>
      </c>
      <c r="E96" s="10">
        <v>0</v>
      </c>
      <c r="F96" s="12">
        <v>1</v>
      </c>
      <c r="G96" s="12">
        <v>8</v>
      </c>
    </row>
    <row r="97" spans="2:7" x14ac:dyDescent="0.25">
      <c r="B97" s="1" t="s">
        <v>133</v>
      </c>
      <c r="C97" s="1" t="s">
        <v>227</v>
      </c>
      <c r="D97" s="1" t="s">
        <v>285</v>
      </c>
      <c r="E97" s="10">
        <v>0</v>
      </c>
      <c r="F97" s="12">
        <v>1</v>
      </c>
      <c r="G97" s="12">
        <v>8</v>
      </c>
    </row>
    <row r="98" spans="2:7" x14ac:dyDescent="0.25">
      <c r="B98" s="1" t="s">
        <v>134</v>
      </c>
      <c r="C98" s="1" t="s">
        <v>228</v>
      </c>
      <c r="D98" s="1" t="s">
        <v>285</v>
      </c>
      <c r="E98" s="10">
        <v>0</v>
      </c>
      <c r="F98" s="12">
        <v>1</v>
      </c>
      <c r="G98" s="12">
        <v>8</v>
      </c>
    </row>
    <row r="99" spans="2:7" x14ac:dyDescent="0.25">
      <c r="B99" s="1" t="s">
        <v>6</v>
      </c>
      <c r="C99" s="1" t="s">
        <v>229</v>
      </c>
      <c r="D99" s="1" t="s">
        <v>285</v>
      </c>
      <c r="E99" s="10">
        <v>0</v>
      </c>
      <c r="F99" s="12">
        <v>1</v>
      </c>
      <c r="G99" s="12">
        <v>8</v>
      </c>
    </row>
    <row r="100" spans="2:7" x14ac:dyDescent="0.25">
      <c r="B100" s="1" t="s">
        <v>12</v>
      </c>
      <c r="C100" s="1" t="s">
        <v>230</v>
      </c>
      <c r="D100" s="1" t="s">
        <v>285</v>
      </c>
      <c r="E100" s="10">
        <v>0</v>
      </c>
      <c r="F100" s="12">
        <v>1</v>
      </c>
      <c r="G100" s="12">
        <v>8</v>
      </c>
    </row>
  </sheetData>
  <mergeCells count="2">
    <mergeCell ref="C3:F3"/>
    <mergeCell ref="K3: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POINTAGES</vt:lpstr>
      <vt:lpstr>HS</vt:lpstr>
      <vt:lpstr>CODE_POINTAGE</vt:lpstr>
      <vt:lpstr>Feuil1</vt:lpstr>
      <vt:lpstr>Feuil2</vt:lpstr>
      <vt:lpstr>Configurations</vt:lpstr>
      <vt:lpstr>POSE_CSKN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NIMI | CSKN</cp:lastModifiedBy>
  <dcterms:modified xsi:type="dcterms:W3CDTF">2026-09-29T16:19:24Z</dcterms:modified>
</cp:coreProperties>
</file>