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.NIMI\Desktop\DIVERS\Fichiers\"/>
    </mc:Choice>
  </mc:AlternateContent>
  <xr:revisionPtr revIDLastSave="0" documentId="13_ncr:1_{1D537A3D-F31A-4145-A5B8-32CC7B1730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I19" i="1"/>
  <c r="I18" i="1"/>
  <c r="C18" i="1"/>
  <c r="I17" i="1"/>
  <c r="I16" i="1"/>
  <c r="D14" i="1"/>
</calcChain>
</file>

<file path=xl/sharedStrings.xml><?xml version="1.0" encoding="utf-8"?>
<sst xmlns="http://schemas.openxmlformats.org/spreadsheetml/2006/main" count="12" uniqueCount="9">
  <si>
    <t>Minimum</t>
  </si>
  <si>
    <t>Maximum</t>
  </si>
  <si>
    <t>Taux</t>
  </si>
  <si>
    <t>Montant</t>
  </si>
  <si>
    <t>Brut</t>
  </si>
  <si>
    <t>cnss</t>
  </si>
  <si>
    <t>Brut Imposable = Brut - Csnn =&gt; Brut - ( Brut * 0,05) =&gt; Brut * 0,95</t>
  </si>
  <si>
    <t>Brut Imposable :</t>
  </si>
  <si>
    <t>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</si>
</sst>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/>
    <xf numFmtId="9" fontId="1" fillId="0" borderId="1" xfId="0" applyNumberFormat="1" applyFont="1" applyBorder="1"/>
    <xf numFmtId="9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Continuous"/>
    </xf>
    <xf numFmtId="165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9" fontId="2" fillId="0" borderId="1" xfId="0" applyNumberFormat="1" applyFont="1" applyBorder="1"/>
    <xf numFmtId="44" fontId="1" fillId="0" borderId="1" xfId="0" applyNumberFormat="1" applyFont="1" applyBorder="1"/>
    <xf numFmtId="4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tabSelected="1" workbookViewId="0">
      <selection activeCell="G7" sqref="G7"/>
    </sheetView>
  </sheetViews>
  <sheetFormatPr baseColWidth="10" defaultColWidth="8.7265625" defaultRowHeight="15.5" x14ac:dyDescent="0.35"/>
  <cols>
    <col min="1" max="1" width="8.7265625" style="2"/>
    <col min="2" max="2" width="12.6328125" style="2" bestFit="1" customWidth="1"/>
    <col min="3" max="3" width="15.54296875" style="2" customWidth="1"/>
    <col min="4" max="4" width="12.6328125" style="2" bestFit="1" customWidth="1"/>
    <col min="5" max="6" width="8.7265625" style="2"/>
    <col min="7" max="7" width="14.90625" style="2" bestFit="1" customWidth="1"/>
    <col min="8" max="8" width="8.7265625" style="2"/>
    <col min="9" max="9" width="13.90625" style="2" bestFit="1" customWidth="1"/>
    <col min="10" max="10" width="8.7265625" style="2"/>
    <col min="11" max="11" width="11.1796875" style="2" bestFit="1" customWidth="1"/>
    <col min="12" max="16384" width="8.7265625" style="2"/>
  </cols>
  <sheetData>
    <row r="2" spans="2:11" x14ac:dyDescent="0.35">
      <c r="B2" s="8" t="s">
        <v>0</v>
      </c>
      <c r="C2" s="8" t="s">
        <v>1</v>
      </c>
      <c r="D2" s="8" t="s">
        <v>2</v>
      </c>
      <c r="E2" s="8" t="s">
        <v>3</v>
      </c>
    </row>
    <row r="3" spans="2:11" x14ac:dyDescent="0.35">
      <c r="B3" s="8">
        <v>1</v>
      </c>
      <c r="C3" s="9">
        <v>162000</v>
      </c>
      <c r="D3" s="10">
        <v>0.03</v>
      </c>
      <c r="E3" s="8"/>
    </row>
    <row r="4" spans="2:11" ht="16" customHeight="1" x14ac:dyDescent="0.35">
      <c r="B4" s="9">
        <v>162001</v>
      </c>
      <c r="C4" s="9">
        <v>1800000</v>
      </c>
      <c r="D4" s="10">
        <v>0.15</v>
      </c>
      <c r="E4" s="8"/>
    </row>
    <row r="5" spans="2:11" x14ac:dyDescent="0.35">
      <c r="B5" s="9">
        <v>1800001</v>
      </c>
      <c r="C5" s="9">
        <v>3600000</v>
      </c>
      <c r="D5" s="10">
        <v>0.3</v>
      </c>
      <c r="E5" s="8"/>
    </row>
    <row r="6" spans="2:11" x14ac:dyDescent="0.35">
      <c r="B6" s="9">
        <v>3600001</v>
      </c>
      <c r="C6" s="9">
        <v>999999999</v>
      </c>
      <c r="D6" s="10">
        <v>0.4</v>
      </c>
      <c r="E6" s="8"/>
    </row>
    <row r="9" spans="2:11" x14ac:dyDescent="0.35">
      <c r="C9" s="2" t="s">
        <v>4</v>
      </c>
      <c r="D9" s="5">
        <v>1900000</v>
      </c>
    </row>
    <row r="10" spans="2:11" x14ac:dyDescent="0.35">
      <c r="C10" s="2" t="s">
        <v>5</v>
      </c>
      <c r="D10" s="4">
        <v>0.05</v>
      </c>
    </row>
    <row r="12" spans="2:11" x14ac:dyDescent="0.35">
      <c r="C12" s="6" t="s">
        <v>6</v>
      </c>
      <c r="D12" s="6"/>
      <c r="E12" s="6"/>
      <c r="F12" s="6"/>
      <c r="G12" s="6"/>
      <c r="H12" s="6"/>
      <c r="I12" s="6"/>
    </row>
    <row r="14" spans="2:11" x14ac:dyDescent="0.35">
      <c r="C14" s="2" t="s">
        <v>7</v>
      </c>
      <c r="D14" s="7">
        <f>1900000*0.95</f>
        <v>1805000</v>
      </c>
      <c r="K14" s="5">
        <f>D14*0.3</f>
        <v>541500</v>
      </c>
    </row>
    <row r="15" spans="2:11" x14ac:dyDescent="0.35">
      <c r="F15" s="1" t="s">
        <v>8</v>
      </c>
      <c r="G15" s="1" t="s">
        <v>3</v>
      </c>
      <c r="H15" s="1" t="s">
        <v>2</v>
      </c>
      <c r="I15" s="1" t="s">
        <v>3</v>
      </c>
    </row>
    <row r="16" spans="2:11" x14ac:dyDescent="0.35">
      <c r="F16" s="1">
        <v>1</v>
      </c>
      <c r="G16" s="11">
        <v>162000</v>
      </c>
      <c r="H16" s="3">
        <v>0.03</v>
      </c>
      <c r="I16" s="11">
        <f>G16*0.03</f>
        <v>4860</v>
      </c>
    </row>
    <row r="17" spans="3:9" x14ac:dyDescent="0.35">
      <c r="F17" s="1">
        <v>2</v>
      </c>
      <c r="G17" s="11">
        <v>1638000</v>
      </c>
      <c r="H17" s="3">
        <v>0.15</v>
      </c>
      <c r="I17" s="11">
        <f>G17*0.15</f>
        <v>245700</v>
      </c>
    </row>
    <row r="18" spans="3:9" x14ac:dyDescent="0.35">
      <c r="C18" s="5">
        <f>D14-G16-G17</f>
        <v>5000</v>
      </c>
      <c r="F18" s="1">
        <v>3</v>
      </c>
      <c r="G18" s="1">
        <v>5000</v>
      </c>
      <c r="H18" s="3">
        <v>0.3</v>
      </c>
      <c r="I18" s="11">
        <f>G18*0.3</f>
        <v>1500</v>
      </c>
    </row>
    <row r="19" spans="3:9" x14ac:dyDescent="0.35">
      <c r="F19" s="1"/>
      <c r="G19" s="1"/>
      <c r="H19" s="1"/>
      <c r="I19" s="12">
        <f>SUM(I16:I18)</f>
        <v>252060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NIMI | CSKN</dc:creator>
  <cp:lastModifiedBy>Benjamin NIMI | CSKN</cp:lastModifiedBy>
  <dcterms:created xsi:type="dcterms:W3CDTF">2015-06-05T18:19:34Z</dcterms:created>
  <dcterms:modified xsi:type="dcterms:W3CDTF">2026-10-02T12:49:55Z</dcterms:modified>
</cp:coreProperties>
</file>