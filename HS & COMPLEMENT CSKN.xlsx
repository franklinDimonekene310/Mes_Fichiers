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.NIMI\Desktop\DIVERS\Fichiers\"/>
    </mc:Choice>
  </mc:AlternateContent>
  <xr:revisionPtr revIDLastSave="0" documentId="13_ncr:1_{CE970697-2834-4AE1-BA67-8BEB194FFD90}" xr6:coauthVersionLast="47" xr6:coauthVersionMax="47" xr10:uidLastSave="{00000000-0000-0000-0000-000000000000}"/>
  <bookViews>
    <workbookView xWindow="28690" yWindow="-110" windowWidth="29020" windowHeight="15700" activeTab="2" xr2:uid="{00000000-000D-0000-FFFF-FFFF00000000}"/>
  </bookViews>
  <sheets>
    <sheet name="Esprit Sucrière (HS)" sheetId="1" r:id="rId1"/>
    <sheet name="Esprit Legal (HS)" sheetId="3" r:id="rId2"/>
    <sheet name="Complément Pose CSKN" sheetId="2" r:id="rId3"/>
    <sheet name="Esprit Legal (HS) (2)" sheetId="4" r:id="rId4"/>
  </sheets>
  <definedNames>
    <definedName name="_xlnm._FilterDatabase" localSheetId="1" hidden="1">'Esprit Legal (HS)'!$A$2:$E$33</definedName>
    <definedName name="_xlnm._FilterDatabase" localSheetId="3" hidden="1">'Esprit Legal (HS) (2)'!$A$2:$C$33</definedName>
    <definedName name="_xlnm._FilterDatabase" localSheetId="0" hidden="1">'Esprit Sucrière (HS)'!$A$2:$E$33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4" l="1"/>
  <c r="B33" i="4"/>
  <c r="H31" i="4"/>
  <c r="B31" i="4"/>
  <c r="B30" i="4"/>
  <c r="B29" i="4"/>
  <c r="B28" i="4"/>
  <c r="B27" i="4"/>
  <c r="B26" i="4"/>
  <c r="B25" i="4"/>
  <c r="B24" i="4"/>
  <c r="K23" i="4"/>
  <c r="J23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J14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I31" i="3"/>
  <c r="K23" i="3"/>
  <c r="L23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4" i="1"/>
  <c r="B5" i="1"/>
  <c r="B6" i="1"/>
  <c r="B7" i="1"/>
  <c r="B8" i="1"/>
  <c r="B9" i="1"/>
  <c r="B10" i="1"/>
  <c r="B11" i="1"/>
  <c r="B12" i="1"/>
  <c r="B13" i="1"/>
  <c r="B24" i="1"/>
  <c r="B25" i="1"/>
  <c r="B26" i="1"/>
  <c r="B27" i="1"/>
  <c r="B28" i="1"/>
  <c r="B29" i="1"/>
  <c r="B30" i="1"/>
  <c r="B31" i="1"/>
  <c r="B32" i="1"/>
  <c r="B33" i="1"/>
  <c r="B14" i="1"/>
  <c r="B15" i="1"/>
  <c r="B16" i="1"/>
  <c r="B17" i="1"/>
  <c r="B18" i="1"/>
  <c r="B19" i="1"/>
  <c r="B20" i="1"/>
  <c r="B21" i="1"/>
  <c r="B22" i="1"/>
  <c r="B23" i="1"/>
  <c r="B3" i="1"/>
</calcChain>
</file>

<file path=xl/sharedStrings.xml><?xml version="1.0" encoding="utf-8"?>
<sst xmlns="http://schemas.openxmlformats.org/spreadsheetml/2006/main" count="463" uniqueCount="85">
  <si>
    <t>Matricule</t>
  </si>
  <si>
    <t>DatePointage</t>
  </si>
  <si>
    <t>IDPointage</t>
  </si>
  <si>
    <t>IDPose</t>
  </si>
  <si>
    <t>140205</t>
  </si>
  <si>
    <t>99</t>
  </si>
  <si>
    <t>6</t>
  </si>
  <si>
    <t>03</t>
  </si>
  <si>
    <t>1</t>
  </si>
  <si>
    <t>12</t>
  </si>
  <si>
    <t>NbreHS35</t>
  </si>
  <si>
    <t>NbreHS37_5</t>
  </si>
  <si>
    <t>NbreHS100</t>
  </si>
  <si>
    <t>NbreHS130</t>
  </si>
  <si>
    <t>NbreHS160</t>
  </si>
  <si>
    <t>NbreHS200</t>
  </si>
  <si>
    <t>JOuvrable</t>
  </si>
  <si>
    <t>JReposPaye</t>
  </si>
  <si>
    <t>JCongeCirconstance</t>
  </si>
  <si>
    <t>JMaladie</t>
  </si>
  <si>
    <t>JHospitalisation</t>
  </si>
  <si>
    <t>JCongeMaternite</t>
  </si>
  <si>
    <t>JCongeAutorise</t>
  </si>
  <si>
    <t>JDimanche</t>
  </si>
  <si>
    <t>JFeriePreste</t>
  </si>
  <si>
    <t>JFerieNonPreste</t>
  </si>
  <si>
    <t>ComplementJFDim</t>
  </si>
  <si>
    <t>ComplementPose2</t>
  </si>
  <si>
    <t>ComplementPose3</t>
  </si>
  <si>
    <t>ComplementPose18_6</t>
  </si>
  <si>
    <t>ComplementDimJFPose2</t>
  </si>
  <si>
    <t>ComplementDimJFPose3</t>
  </si>
  <si>
    <t>ComplementDimJFPose18_6</t>
  </si>
  <si>
    <t>JSansPointage</t>
  </si>
  <si>
    <t>JAbsAutorise</t>
  </si>
  <si>
    <t>JAbsNonAutorise</t>
  </si>
  <si>
    <t>JMiseApied</t>
  </si>
  <si>
    <t>Jour</t>
  </si>
  <si>
    <t>dimanche</t>
  </si>
  <si>
    <t>Lundi</t>
  </si>
  <si>
    <t>Mardi</t>
  </si>
  <si>
    <t>Mercredi</t>
  </si>
  <si>
    <t>Jeudi</t>
  </si>
  <si>
    <t>Vendredi</t>
  </si>
  <si>
    <t>Samedi</t>
  </si>
  <si>
    <t>semaine 1</t>
  </si>
  <si>
    <t>semaine 2</t>
  </si>
  <si>
    <t>semaine 3</t>
  </si>
  <si>
    <t>semaine 4</t>
  </si>
  <si>
    <t>semaine 5</t>
  </si>
  <si>
    <t>prestation</t>
  </si>
  <si>
    <t>Durée</t>
  </si>
  <si>
    <t>45 h / semaine</t>
  </si>
  <si>
    <t xml:space="preserve">Code du travail : </t>
  </si>
  <si>
    <t>36 sur 21</t>
  </si>
  <si>
    <t>68 sur 45</t>
  </si>
  <si>
    <t>48 sur 45</t>
  </si>
  <si>
    <t>56 sur 45</t>
  </si>
  <si>
    <t>Mois</t>
  </si>
  <si>
    <t>Prestation hs</t>
  </si>
  <si>
    <t>6 hs pour chaque semaine</t>
  </si>
  <si>
    <t>Pour la majoration de 60%</t>
  </si>
  <si>
    <t>64 HS dela semaine</t>
  </si>
  <si>
    <t xml:space="preserve">Pour la sucrière,la prestation du samedi est de 8 heures au lieu de 5 heures </t>
  </si>
  <si>
    <t>pour des employés qui font des poses.  Donc la semaine comprend 48 heures</t>
  </si>
  <si>
    <t>76 HS dela semaine</t>
  </si>
  <si>
    <t>60 sur 40</t>
  </si>
  <si>
    <t>Taux</t>
  </si>
  <si>
    <t>142051</t>
  </si>
  <si>
    <t>3</t>
  </si>
  <si>
    <t>POSE 2</t>
  </si>
  <si>
    <t>POSE 3</t>
  </si>
  <si>
    <t>POSE 18-6</t>
  </si>
  <si>
    <t>2</t>
  </si>
  <si>
    <t>Notion sur le Complément</t>
  </si>
  <si>
    <t>Pose</t>
  </si>
  <si>
    <t>POSE 2 DE 8 H (14 - 22 ou 15 -23 )</t>
  </si>
  <si>
    <t>POSE 3 DE 8 H (22 - 6 ou 23 - 7 )</t>
  </si>
  <si>
    <t>POSE 2 DE 12 H ( 18 - 6 )</t>
  </si>
  <si>
    <t>PROCEDURE</t>
  </si>
  <si>
    <t>On multiplie le nombre de fois de la meme pose de l'employé parletaux et par letaux journalier</t>
  </si>
  <si>
    <t>Ex pour 142051, il a presté 5 fois 992 (14 - 22), son taux Journ est de 10000fc,</t>
  </si>
  <si>
    <t>on fera 5 * 10000 * 0,19 = 1900fc</t>
  </si>
  <si>
    <t>Code Pointage</t>
  </si>
  <si>
    <t>Avantage monétaire que la Sucrière accorde à ses employés qui ont presté de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</si>
</sst>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####"/>
  </numFmts>
  <fonts count="7" x14ac:knownFonts="1">
    <font>
      <sz val="10"/>
      <name val="Arial"/>
      <charset val="1"/>
    </font>
    <font>
      <sz val="10"/>
      <name val="Arial Narrow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2"/>
      <name val="Arial Narrow"/>
      <family val="2"/>
    </font>
    <font>
      <b/>
      <u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left" vertical="center" wrapText="1"/>
    </xf>
    <xf numFmtId="14" fontId="0" fillId="0" borderId="0" xfId="0" applyNumberFormat="1" applyFont="1" applyFill="1" applyBorder="1" applyAlignment="1" applyProtection="1">
      <alignment horizontal="right" vertical="center" wrapText="1"/>
    </xf>
    <xf numFmtId="0" fontId="0" fillId="0" borderId="0" xfId="0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NumberFormat="1" applyFont="1" applyFill="1" applyBorder="1" applyAlignment="1" applyProtection="1">
      <alignment horizontal="left" vertical="center" wrapText="1"/>
    </xf>
    <xf numFmtId="164" fontId="1" fillId="0" borderId="1" xfId="0" applyNumberFormat="1" applyFont="1" applyFill="1" applyBorder="1" applyAlignment="1" applyProtection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164" fontId="1" fillId="2" borderId="1" xfId="0" applyNumberFormat="1" applyFont="1" applyFill="1" applyBorder="1" applyAlignment="1" applyProtection="1">
      <alignment horizontal="right" vertical="center" wrapText="1"/>
    </xf>
    <xf numFmtId="0" fontId="2" fillId="0" borderId="0" xfId="0" applyFont="1"/>
    <xf numFmtId="0" fontId="0" fillId="3" borderId="0" xfId="0" applyNumberFormat="1" applyFont="1" applyFill="1" applyBorder="1" applyAlignment="1" applyProtection="1">
      <alignment horizontal="left" vertical="center" wrapText="1"/>
    </xf>
    <xf numFmtId="14" fontId="0" fillId="3" borderId="0" xfId="0" applyNumberFormat="1" applyFont="1" applyFill="1" applyBorder="1" applyAlignment="1" applyProtection="1">
      <alignment horizontal="right" vertical="center" wrapText="1"/>
    </xf>
    <xf numFmtId="0" fontId="0" fillId="4" borderId="0" xfId="0" applyFill="1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0" fillId="0" borderId="1" xfId="0" applyBorder="1"/>
    <xf numFmtId="0" fontId="2" fillId="0" borderId="1" xfId="0" applyFont="1" applyBorder="1"/>
    <xf numFmtId="0" fontId="4" fillId="0" borderId="1" xfId="0" applyFont="1" applyBorder="1" applyAlignment="1"/>
    <xf numFmtId="0" fontId="4" fillId="0" borderId="1" xfId="0" applyFont="1" applyBorder="1"/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NumberFormat="1" applyFont="1" applyFill="1" applyBorder="1" applyAlignment="1" applyProtection="1">
      <alignment horizontal="left" vertical="center" wrapText="1"/>
    </xf>
    <xf numFmtId="0" fontId="0" fillId="5" borderId="1" xfId="0" applyNumberFormat="1" applyFont="1" applyFill="1" applyBorder="1" applyAlignment="1" applyProtection="1">
      <alignment horizontal="left" vertical="center" wrapText="1"/>
    </xf>
    <xf numFmtId="14" fontId="0" fillId="0" borderId="1" xfId="0" applyNumberFormat="1" applyFont="1" applyFill="1" applyBorder="1" applyAlignment="1" applyProtection="1">
      <alignment horizontal="right" vertical="center" wrapText="1"/>
    </xf>
    <xf numFmtId="0" fontId="5" fillId="0" borderId="1" xfId="0" applyFont="1" applyBorder="1" applyAlignment="1">
      <alignment horizontal="right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2" fillId="0" borderId="2" xfId="0" applyFont="1" applyBorder="1"/>
    <xf numFmtId="164" fontId="5" fillId="0" borderId="1" xfId="0" applyNumberFormat="1" applyFont="1" applyFill="1" applyBorder="1" applyAlignment="1" applyProtection="1">
      <alignment horizontal="right" vertical="center" wrapText="1"/>
    </xf>
    <xf numFmtId="0" fontId="6" fillId="0" borderId="0" xfId="0" applyFont="1"/>
    <xf numFmtId="0" fontId="5" fillId="5" borderId="1" xfId="0" applyFont="1" applyFill="1" applyBorder="1" applyAlignment="1">
      <alignment horizontal="right" vertical="center" wrapText="1"/>
    </xf>
    <xf numFmtId="164" fontId="5" fillId="5" borderId="1" xfId="0" applyNumberFormat="1" applyFont="1" applyFill="1" applyBorder="1" applyAlignment="1" applyProtection="1">
      <alignment horizontal="right" vertical="center" wrapText="1"/>
    </xf>
    <xf numFmtId="9" fontId="0" fillId="0" borderId="1" xfId="0" applyNumberFormat="1" applyBorder="1"/>
    <xf numFmtId="10" fontId="0" fillId="0" borderId="1" xfId="0" applyNumberFormat="1" applyBorder="1"/>
    <xf numFmtId="0" fontId="5" fillId="0" borderId="0" xfId="0" applyFont="1" applyAlignment="1">
      <alignment horizontal="right" vertical="center" wrapText="1"/>
    </xf>
    <xf numFmtId="0" fontId="5" fillId="0" borderId="0" xfId="0" applyNumberFormat="1" applyFont="1" applyFill="1" applyBorder="1" applyAlignment="1" applyProtection="1">
      <alignment horizontal="left" vertical="center" wrapText="1"/>
    </xf>
    <xf numFmtId="14" fontId="5" fillId="0" borderId="0" xfId="0" applyNumberFormat="1" applyFont="1" applyFill="1" applyBorder="1" applyAlignment="1" applyProtection="1">
      <alignment horizontal="right" vertical="center" wrapText="1"/>
    </xf>
    <xf numFmtId="0" fontId="0" fillId="0" borderId="0" xfId="0" applyNumberFormat="1" applyFont="1" applyFill="1" applyBorder="1" applyAlignment="1" applyProtection="1">
      <alignment horizontal="right" vertical="center" wrapText="1"/>
    </xf>
    <xf numFmtId="49" fontId="0" fillId="0" borderId="0" xfId="0" applyNumberFormat="1" applyFont="1" applyFill="1" applyBorder="1" applyAlignment="1" applyProtection="1">
      <alignment horizontal="left" vertical="center" wrapText="1"/>
    </xf>
    <xf numFmtId="0" fontId="0" fillId="0" borderId="0" xfId="0" applyNumberFormat="1" applyFont="1" applyFill="1" applyBorder="1" applyAlignment="1" applyProtection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</cellXfs>
  <cellStyles count="1">
    <cellStyle name="Normal" xfId="0" builtinId="0"/>
  </cellStyles>
  <dxfs count="3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33"/>
  <sheetViews>
    <sheetView workbookViewId="0">
      <selection activeCell="R10" sqref="R10:R29"/>
    </sheetView>
  </sheetViews>
  <sheetFormatPr baseColWidth="10" defaultRowHeight="15" customHeight="1" x14ac:dyDescent="0.25"/>
  <cols>
    <col min="1" max="2" width="16.54296875" customWidth="1"/>
    <col min="3" max="3" width="11.90625" bestFit="1" customWidth="1"/>
    <col min="4" max="4" width="10" bestFit="1" customWidth="1"/>
    <col min="5" max="5" width="7" bestFit="1" customWidth="1"/>
    <col min="6" max="6" width="5.90625" customWidth="1"/>
    <col min="9" max="9" width="12.36328125" customWidth="1"/>
    <col min="10" max="10" width="13" bestFit="1" customWidth="1"/>
    <col min="11" max="11" width="22.81640625" bestFit="1" customWidth="1"/>
    <col min="12" max="12" width="7.90625" customWidth="1"/>
    <col min="13" max="13" width="8" customWidth="1"/>
    <col min="15" max="15" width="24.6328125" bestFit="1" customWidth="1"/>
    <col min="16" max="16" width="9" customWidth="1"/>
  </cols>
  <sheetData>
    <row r="2" spans="1:16" ht="13" x14ac:dyDescent="0.25">
      <c r="A2" s="1" t="s">
        <v>0</v>
      </c>
      <c r="B2" s="8" t="s">
        <v>37</v>
      </c>
      <c r="C2" s="1" t="s">
        <v>1</v>
      </c>
      <c r="D2" s="1" t="s">
        <v>2</v>
      </c>
      <c r="E2" s="1" t="s">
        <v>3</v>
      </c>
      <c r="F2" s="11" t="s">
        <v>51</v>
      </c>
      <c r="O2" s="5" t="s">
        <v>0</v>
      </c>
      <c r="P2" s="6" t="s">
        <v>4</v>
      </c>
    </row>
    <row r="3" spans="1:16" ht="13.75" customHeight="1" x14ac:dyDescent="0.25">
      <c r="A3" s="2" t="s">
        <v>4</v>
      </c>
      <c r="B3" s="2" t="str">
        <f t="shared" ref="B3:B33" si="0">TEXT(C3,"jjjj")</f>
        <v>jeudi</v>
      </c>
      <c r="C3" s="3">
        <v>46163</v>
      </c>
      <c r="D3" s="2" t="s">
        <v>5</v>
      </c>
      <c r="E3" s="2" t="s">
        <v>6</v>
      </c>
      <c r="F3" s="14">
        <v>12</v>
      </c>
      <c r="G3" s="41">
        <v>36</v>
      </c>
      <c r="H3" s="15">
        <v>4</v>
      </c>
      <c r="O3" s="9" t="s">
        <v>16</v>
      </c>
      <c r="P3" s="9">
        <v>25</v>
      </c>
    </row>
    <row r="4" spans="1:16" ht="13.75" customHeight="1" x14ac:dyDescent="0.25">
      <c r="A4" s="2" t="s">
        <v>4</v>
      </c>
      <c r="B4" s="2" t="str">
        <f t="shared" si="0"/>
        <v>vendredi</v>
      </c>
      <c r="C4" s="3">
        <v>46164</v>
      </c>
      <c r="D4" s="2" t="s">
        <v>5</v>
      </c>
      <c r="E4" s="2" t="s">
        <v>6</v>
      </c>
      <c r="F4" s="14">
        <v>12</v>
      </c>
      <c r="G4" s="41"/>
      <c r="H4" s="15">
        <v>4</v>
      </c>
      <c r="O4" s="9" t="s">
        <v>17</v>
      </c>
      <c r="P4" s="9">
        <v>1</v>
      </c>
    </row>
    <row r="5" spans="1:16" ht="13.75" customHeight="1" x14ac:dyDescent="0.25">
      <c r="A5" s="2" t="s">
        <v>4</v>
      </c>
      <c r="B5" s="2" t="str">
        <f t="shared" si="0"/>
        <v>samedi</v>
      </c>
      <c r="C5" s="3">
        <v>46165</v>
      </c>
      <c r="D5" s="2" t="s">
        <v>5</v>
      </c>
      <c r="E5" s="2" t="s">
        <v>6</v>
      </c>
      <c r="F5" s="14">
        <v>12</v>
      </c>
      <c r="G5" s="41"/>
      <c r="H5" s="15">
        <v>4</v>
      </c>
      <c r="I5" s="18" t="s">
        <v>39</v>
      </c>
      <c r="J5" s="17">
        <v>8</v>
      </c>
      <c r="O5" s="5" t="s">
        <v>18</v>
      </c>
      <c r="P5" s="7">
        <v>0</v>
      </c>
    </row>
    <row r="6" spans="1:16" ht="13.75" customHeight="1" x14ac:dyDescent="0.25">
      <c r="A6" s="2" t="s">
        <v>4</v>
      </c>
      <c r="B6" s="2" t="str">
        <f t="shared" si="0"/>
        <v>dimanche</v>
      </c>
      <c r="C6" s="3">
        <v>46166</v>
      </c>
      <c r="D6" s="2" t="s">
        <v>7</v>
      </c>
      <c r="E6" s="2"/>
      <c r="F6">
        <v>0</v>
      </c>
      <c r="G6" s="41"/>
      <c r="H6" s="15"/>
      <c r="I6" s="18" t="s">
        <v>40</v>
      </c>
      <c r="J6" s="17">
        <v>8</v>
      </c>
      <c r="O6" s="5" t="s">
        <v>19</v>
      </c>
      <c r="P6" s="7">
        <v>0</v>
      </c>
    </row>
    <row r="7" spans="1:16" ht="13.75" customHeight="1" x14ac:dyDescent="0.25">
      <c r="A7" s="2" t="s">
        <v>4</v>
      </c>
      <c r="B7" s="2" t="str">
        <f t="shared" si="0"/>
        <v>lundi</v>
      </c>
      <c r="C7" s="3">
        <v>46167</v>
      </c>
      <c r="D7" s="2" t="s">
        <v>5</v>
      </c>
      <c r="E7" s="2" t="s">
        <v>6</v>
      </c>
      <c r="F7" s="14">
        <v>12</v>
      </c>
      <c r="G7" s="41">
        <v>68</v>
      </c>
      <c r="H7" s="15">
        <v>4</v>
      </c>
      <c r="I7" s="18" t="s">
        <v>41</v>
      </c>
      <c r="J7" s="17">
        <v>8</v>
      </c>
      <c r="O7" s="5" t="s">
        <v>20</v>
      </c>
      <c r="P7" s="7">
        <v>0</v>
      </c>
    </row>
    <row r="8" spans="1:16" ht="13.75" customHeight="1" x14ac:dyDescent="0.25">
      <c r="A8" s="2" t="s">
        <v>4</v>
      </c>
      <c r="B8" s="2" t="str">
        <f t="shared" si="0"/>
        <v>mardi</v>
      </c>
      <c r="C8" s="3">
        <v>46168</v>
      </c>
      <c r="D8" s="2" t="s">
        <v>5</v>
      </c>
      <c r="E8" s="2" t="s">
        <v>6</v>
      </c>
      <c r="F8" s="14">
        <v>12</v>
      </c>
      <c r="G8" s="41"/>
      <c r="H8" s="15">
        <v>4</v>
      </c>
      <c r="I8" s="18" t="s">
        <v>42</v>
      </c>
      <c r="J8" s="17">
        <v>8</v>
      </c>
      <c r="O8" s="5" t="s">
        <v>21</v>
      </c>
      <c r="P8" s="7">
        <v>0</v>
      </c>
    </row>
    <row r="9" spans="1:16" ht="13.75" customHeight="1" x14ac:dyDescent="0.25">
      <c r="A9" s="2" t="s">
        <v>4</v>
      </c>
      <c r="B9" s="2" t="str">
        <f t="shared" si="0"/>
        <v>mercredi</v>
      </c>
      <c r="C9" s="3">
        <v>46169</v>
      </c>
      <c r="D9" s="2" t="s">
        <v>5</v>
      </c>
      <c r="E9" s="2" t="s">
        <v>6</v>
      </c>
      <c r="F9" s="14">
        <v>12</v>
      </c>
      <c r="G9" s="41"/>
      <c r="H9" s="15">
        <v>4</v>
      </c>
      <c r="I9" s="18" t="s">
        <v>43</v>
      </c>
      <c r="J9" s="17">
        <v>8</v>
      </c>
      <c r="O9" s="5" t="s">
        <v>22</v>
      </c>
      <c r="P9" s="7">
        <v>0</v>
      </c>
    </row>
    <row r="10" spans="1:16" ht="13.75" customHeight="1" x14ac:dyDescent="0.25">
      <c r="A10" s="2" t="s">
        <v>4</v>
      </c>
      <c r="B10" s="2" t="str">
        <f t="shared" si="0"/>
        <v>jeudi</v>
      </c>
      <c r="C10" s="3">
        <v>46170</v>
      </c>
      <c r="D10" s="2" t="s">
        <v>5</v>
      </c>
      <c r="E10" s="2" t="s">
        <v>6</v>
      </c>
      <c r="F10" s="14">
        <v>12</v>
      </c>
      <c r="G10" s="41"/>
      <c r="H10" s="15">
        <v>4</v>
      </c>
      <c r="I10" s="18" t="s">
        <v>44</v>
      </c>
      <c r="J10" s="17">
        <v>5</v>
      </c>
      <c r="O10" s="9" t="s">
        <v>23</v>
      </c>
      <c r="P10" s="10">
        <v>3</v>
      </c>
    </row>
    <row r="11" spans="1:16" ht="13.75" customHeight="1" x14ac:dyDescent="0.25">
      <c r="A11" s="2" t="s">
        <v>4</v>
      </c>
      <c r="B11" s="2" t="str">
        <f t="shared" si="0"/>
        <v>vendredi</v>
      </c>
      <c r="C11" s="3">
        <v>46171</v>
      </c>
      <c r="D11" s="2" t="s">
        <v>5</v>
      </c>
      <c r="E11" s="2" t="s">
        <v>6</v>
      </c>
      <c r="F11" s="14">
        <v>12</v>
      </c>
      <c r="G11" s="41"/>
      <c r="H11" s="15">
        <v>4</v>
      </c>
      <c r="O11" s="5" t="s">
        <v>24</v>
      </c>
      <c r="P11" s="7">
        <v>0</v>
      </c>
    </row>
    <row r="12" spans="1:16" ht="13.75" customHeight="1" x14ac:dyDescent="0.25">
      <c r="A12" s="2" t="s">
        <v>4</v>
      </c>
      <c r="B12" s="2" t="str">
        <f t="shared" si="0"/>
        <v>samedi</v>
      </c>
      <c r="C12" s="3">
        <v>46172</v>
      </c>
      <c r="D12" s="2" t="s">
        <v>5</v>
      </c>
      <c r="E12" s="2">
        <v>1</v>
      </c>
      <c r="F12" s="14">
        <v>8</v>
      </c>
      <c r="G12" s="41"/>
      <c r="H12" s="15"/>
      <c r="O12" s="5" t="s">
        <v>25</v>
      </c>
      <c r="P12" s="7">
        <v>0</v>
      </c>
    </row>
    <row r="13" spans="1:16" ht="13.75" customHeight="1" x14ac:dyDescent="0.25">
      <c r="A13" s="2" t="s">
        <v>4</v>
      </c>
      <c r="B13" s="2" t="str">
        <f t="shared" si="0"/>
        <v>dimanche</v>
      </c>
      <c r="C13" s="3">
        <v>46173</v>
      </c>
      <c r="D13" s="2" t="s">
        <v>5</v>
      </c>
      <c r="E13" s="2" t="s">
        <v>8</v>
      </c>
      <c r="F13">
        <v>8</v>
      </c>
      <c r="O13" s="5" t="s">
        <v>26</v>
      </c>
      <c r="P13" s="7">
        <v>0</v>
      </c>
    </row>
    <row r="14" spans="1:16" ht="13.75" customHeight="1" x14ac:dyDescent="0.25">
      <c r="A14" s="2" t="s">
        <v>4</v>
      </c>
      <c r="B14" s="2" t="str">
        <f t="shared" si="0"/>
        <v>lundi</v>
      </c>
      <c r="C14" s="3">
        <v>46174</v>
      </c>
      <c r="D14" s="2" t="s">
        <v>5</v>
      </c>
      <c r="E14" s="2" t="s">
        <v>8</v>
      </c>
      <c r="F14" s="14">
        <v>8</v>
      </c>
      <c r="G14" s="41">
        <v>48</v>
      </c>
      <c r="I14" s="11" t="s">
        <v>63</v>
      </c>
      <c r="J14" s="11"/>
      <c r="O14" s="5" t="s">
        <v>27</v>
      </c>
      <c r="P14" s="7">
        <v>0</v>
      </c>
    </row>
    <row r="15" spans="1:16" ht="13.75" customHeight="1" x14ac:dyDescent="0.25">
      <c r="A15" s="2" t="s">
        <v>4</v>
      </c>
      <c r="B15" s="2" t="str">
        <f t="shared" si="0"/>
        <v>mardi</v>
      </c>
      <c r="C15" s="3">
        <v>46175</v>
      </c>
      <c r="D15" s="2" t="s">
        <v>5</v>
      </c>
      <c r="E15" s="2" t="s">
        <v>8</v>
      </c>
      <c r="F15" s="14">
        <v>8</v>
      </c>
      <c r="G15" s="41"/>
      <c r="I15" s="11" t="s">
        <v>64</v>
      </c>
      <c r="O15" s="5" t="s">
        <v>28</v>
      </c>
      <c r="P15" s="7">
        <v>0</v>
      </c>
    </row>
    <row r="16" spans="1:16" ht="13.75" customHeight="1" x14ac:dyDescent="0.25">
      <c r="A16" s="2" t="s">
        <v>4</v>
      </c>
      <c r="B16" s="2" t="str">
        <f t="shared" si="0"/>
        <v>mercredi</v>
      </c>
      <c r="C16" s="3">
        <v>46176</v>
      </c>
      <c r="D16" s="2" t="s">
        <v>5</v>
      </c>
      <c r="E16" s="2" t="s">
        <v>8</v>
      </c>
      <c r="F16" s="14">
        <v>8</v>
      </c>
      <c r="G16" s="41"/>
      <c r="O16" s="5" t="s">
        <v>29</v>
      </c>
      <c r="P16" s="7">
        <v>0</v>
      </c>
    </row>
    <row r="17" spans="1:16" ht="13.75" customHeight="1" x14ac:dyDescent="0.3">
      <c r="A17" s="2" t="s">
        <v>4</v>
      </c>
      <c r="B17" s="2" t="str">
        <f t="shared" si="0"/>
        <v>jeudi</v>
      </c>
      <c r="C17" s="3">
        <v>46177</v>
      </c>
      <c r="D17" s="2" t="s">
        <v>5</v>
      </c>
      <c r="E17" s="2" t="s">
        <v>8</v>
      </c>
      <c r="F17" s="14">
        <v>8</v>
      </c>
      <c r="G17" s="41"/>
      <c r="I17" s="17"/>
      <c r="J17" s="19" t="s">
        <v>59</v>
      </c>
      <c r="K17" s="20">
        <v>130</v>
      </c>
      <c r="L17" s="20">
        <v>160</v>
      </c>
      <c r="M17" s="20">
        <v>200</v>
      </c>
      <c r="O17" s="5" t="s">
        <v>30</v>
      </c>
      <c r="P17" s="7">
        <v>0</v>
      </c>
    </row>
    <row r="18" spans="1:16" ht="13.75" customHeight="1" x14ac:dyDescent="0.25">
      <c r="A18" s="2" t="s">
        <v>4</v>
      </c>
      <c r="B18" s="2" t="str">
        <f t="shared" si="0"/>
        <v>vendredi</v>
      </c>
      <c r="C18" s="3">
        <v>46178</v>
      </c>
      <c r="D18" s="2" t="s">
        <v>5</v>
      </c>
      <c r="E18" s="2" t="s">
        <v>8</v>
      </c>
      <c r="F18" s="14">
        <v>8</v>
      </c>
      <c r="G18" s="41"/>
      <c r="I18" s="18" t="s">
        <v>58</v>
      </c>
      <c r="J18" s="17">
        <v>64</v>
      </c>
      <c r="K18" s="17">
        <v>24</v>
      </c>
      <c r="L18" s="17">
        <v>36</v>
      </c>
      <c r="M18" s="17">
        <v>4</v>
      </c>
      <c r="O18" s="5" t="s">
        <v>31</v>
      </c>
      <c r="P18" s="7">
        <v>0</v>
      </c>
    </row>
    <row r="19" spans="1:16" ht="13.75" customHeight="1" x14ac:dyDescent="0.25">
      <c r="A19" s="2" t="s">
        <v>4</v>
      </c>
      <c r="B19" s="2" t="str">
        <f t="shared" si="0"/>
        <v>samedi</v>
      </c>
      <c r="C19" s="3">
        <v>46179</v>
      </c>
      <c r="D19" s="2" t="s">
        <v>5</v>
      </c>
      <c r="E19" s="2" t="s">
        <v>8</v>
      </c>
      <c r="F19" s="14">
        <v>8</v>
      </c>
      <c r="G19" s="41"/>
      <c r="I19" s="11"/>
      <c r="O19" s="5" t="s">
        <v>32</v>
      </c>
      <c r="P19" s="7">
        <v>0</v>
      </c>
    </row>
    <row r="20" spans="1:16" ht="13.75" customHeight="1" x14ac:dyDescent="0.25">
      <c r="A20" s="2" t="s">
        <v>4</v>
      </c>
      <c r="B20" s="2" t="str">
        <f t="shared" si="0"/>
        <v>dimanche</v>
      </c>
      <c r="C20" s="3">
        <v>46180</v>
      </c>
      <c r="D20" s="2" t="s">
        <v>5</v>
      </c>
      <c r="E20" s="2" t="s">
        <v>8</v>
      </c>
      <c r="F20">
        <v>8</v>
      </c>
      <c r="I20" s="11"/>
      <c r="O20" s="5" t="s">
        <v>33</v>
      </c>
      <c r="P20" s="7">
        <v>0</v>
      </c>
    </row>
    <row r="21" spans="1:16" ht="13.75" customHeight="1" x14ac:dyDescent="0.25">
      <c r="A21" s="2" t="s">
        <v>4</v>
      </c>
      <c r="B21" s="2" t="str">
        <f t="shared" si="0"/>
        <v>lundi</v>
      </c>
      <c r="C21" s="3">
        <v>46181</v>
      </c>
      <c r="D21" s="2" t="s">
        <v>5</v>
      </c>
      <c r="E21" s="2" t="s">
        <v>8</v>
      </c>
      <c r="F21" s="14">
        <v>8</v>
      </c>
      <c r="G21" s="41">
        <v>56</v>
      </c>
      <c r="I21" s="42" t="s">
        <v>62</v>
      </c>
      <c r="J21" s="17">
        <v>4</v>
      </c>
      <c r="K21" s="18" t="s">
        <v>38</v>
      </c>
      <c r="L21" s="4"/>
      <c r="M21" s="2"/>
      <c r="O21" s="5" t="s">
        <v>34</v>
      </c>
      <c r="P21" s="7">
        <v>0</v>
      </c>
    </row>
    <row r="22" spans="1:16" ht="13.75" customHeight="1" x14ac:dyDescent="0.25">
      <c r="A22" s="2" t="s">
        <v>4</v>
      </c>
      <c r="B22" s="2" t="str">
        <f t="shared" si="0"/>
        <v>mardi</v>
      </c>
      <c r="C22" s="3">
        <v>46182</v>
      </c>
      <c r="D22" s="2" t="s">
        <v>5</v>
      </c>
      <c r="E22" s="2" t="s">
        <v>8</v>
      </c>
      <c r="F22" s="14">
        <v>8</v>
      </c>
      <c r="G22" s="41"/>
      <c r="I22" s="42"/>
      <c r="J22" s="17">
        <v>24</v>
      </c>
      <c r="K22" s="18" t="s">
        <v>60</v>
      </c>
      <c r="O22" s="5" t="s">
        <v>35</v>
      </c>
      <c r="P22" s="7">
        <v>0</v>
      </c>
    </row>
    <row r="23" spans="1:16" ht="13.75" customHeight="1" x14ac:dyDescent="0.25">
      <c r="A23" s="2" t="s">
        <v>4</v>
      </c>
      <c r="B23" s="2" t="str">
        <f t="shared" si="0"/>
        <v>mercredi</v>
      </c>
      <c r="C23" s="3">
        <v>46183</v>
      </c>
      <c r="D23" s="2" t="s">
        <v>5</v>
      </c>
      <c r="E23" s="2" t="s">
        <v>8</v>
      </c>
      <c r="F23" s="14">
        <v>8</v>
      </c>
      <c r="G23" s="41"/>
      <c r="I23" s="42"/>
      <c r="J23" s="17">
        <v>36</v>
      </c>
      <c r="K23" s="18" t="s">
        <v>61</v>
      </c>
      <c r="O23" s="5" t="s">
        <v>36</v>
      </c>
      <c r="P23" s="7">
        <v>0</v>
      </c>
    </row>
    <row r="24" spans="1:16" ht="13.75" customHeight="1" x14ac:dyDescent="0.25">
      <c r="A24" s="2" t="s">
        <v>4</v>
      </c>
      <c r="B24" s="2" t="str">
        <f t="shared" si="0"/>
        <v>jeudi</v>
      </c>
      <c r="C24" s="3">
        <v>46184</v>
      </c>
      <c r="D24" s="2" t="s">
        <v>5</v>
      </c>
      <c r="E24" s="2" t="s">
        <v>8</v>
      </c>
      <c r="F24" s="14">
        <v>8</v>
      </c>
      <c r="G24" s="41"/>
      <c r="O24" s="5" t="s">
        <v>10</v>
      </c>
      <c r="P24" s="7">
        <v>0</v>
      </c>
    </row>
    <row r="25" spans="1:16" ht="13.75" customHeight="1" x14ac:dyDescent="0.25">
      <c r="A25" s="2" t="s">
        <v>4</v>
      </c>
      <c r="B25" s="2" t="str">
        <f t="shared" si="0"/>
        <v>vendredi</v>
      </c>
      <c r="C25" s="3">
        <v>46185</v>
      </c>
      <c r="D25" s="2" t="s">
        <v>5</v>
      </c>
      <c r="E25" s="2" t="s">
        <v>6</v>
      </c>
      <c r="F25" s="14">
        <v>12</v>
      </c>
      <c r="G25" s="41"/>
      <c r="H25" s="15">
        <v>4</v>
      </c>
      <c r="O25" s="5" t="s">
        <v>11</v>
      </c>
      <c r="P25" s="7">
        <v>0</v>
      </c>
    </row>
    <row r="26" spans="1:16" ht="13.75" customHeight="1" x14ac:dyDescent="0.25">
      <c r="A26" s="2" t="s">
        <v>4</v>
      </c>
      <c r="B26" s="2" t="str">
        <f t="shared" si="0"/>
        <v>samedi</v>
      </c>
      <c r="C26" s="3">
        <v>46186</v>
      </c>
      <c r="D26" s="2" t="s">
        <v>5</v>
      </c>
      <c r="E26" s="2" t="s">
        <v>6</v>
      </c>
      <c r="F26" s="14">
        <v>12</v>
      </c>
      <c r="G26" s="41"/>
      <c r="H26" s="15">
        <v>4</v>
      </c>
      <c r="O26" s="5" t="s">
        <v>12</v>
      </c>
      <c r="P26" s="7">
        <v>0</v>
      </c>
    </row>
    <row r="27" spans="1:16" ht="13.75" customHeight="1" x14ac:dyDescent="0.25">
      <c r="A27" s="2" t="s">
        <v>4</v>
      </c>
      <c r="B27" s="2" t="str">
        <f t="shared" si="0"/>
        <v>dimanche</v>
      </c>
      <c r="C27" s="3">
        <v>46187</v>
      </c>
      <c r="D27" s="2" t="s">
        <v>5</v>
      </c>
      <c r="E27" s="2" t="s">
        <v>6</v>
      </c>
      <c r="F27">
        <v>12</v>
      </c>
      <c r="H27" s="15">
        <v>4</v>
      </c>
      <c r="O27" s="5" t="s">
        <v>13</v>
      </c>
      <c r="P27" s="7">
        <v>24</v>
      </c>
    </row>
    <row r="28" spans="1:16" ht="13.75" customHeight="1" x14ac:dyDescent="0.25">
      <c r="A28" s="2" t="s">
        <v>4</v>
      </c>
      <c r="B28" s="2" t="str">
        <f t="shared" si="0"/>
        <v>lundi</v>
      </c>
      <c r="C28" s="3">
        <v>46188</v>
      </c>
      <c r="D28" s="2" t="s">
        <v>5</v>
      </c>
      <c r="E28" s="2" t="s">
        <v>6</v>
      </c>
      <c r="F28" s="14">
        <v>12</v>
      </c>
      <c r="H28" s="15">
        <v>4</v>
      </c>
      <c r="O28" s="5" t="s">
        <v>14</v>
      </c>
      <c r="P28" s="7">
        <v>36</v>
      </c>
    </row>
    <row r="29" spans="1:16" ht="13.75" customHeight="1" x14ac:dyDescent="0.25">
      <c r="A29" s="2" t="s">
        <v>4</v>
      </c>
      <c r="B29" s="2" t="str">
        <f t="shared" si="0"/>
        <v>mardi</v>
      </c>
      <c r="C29" s="3">
        <v>46189</v>
      </c>
      <c r="D29" s="2" t="s">
        <v>5</v>
      </c>
      <c r="E29" s="2" t="s">
        <v>6</v>
      </c>
      <c r="F29" s="14">
        <v>12</v>
      </c>
      <c r="H29" s="15">
        <v>4</v>
      </c>
      <c r="O29" s="9" t="s">
        <v>15</v>
      </c>
      <c r="P29" s="9">
        <v>4</v>
      </c>
    </row>
    <row r="30" spans="1:16" ht="13.75" customHeight="1" x14ac:dyDescent="0.25">
      <c r="A30" s="2" t="s">
        <v>4</v>
      </c>
      <c r="B30" s="2" t="str">
        <f t="shared" si="0"/>
        <v>mercredi</v>
      </c>
      <c r="C30" s="3">
        <v>46190</v>
      </c>
      <c r="D30" s="2" t="s">
        <v>5</v>
      </c>
      <c r="E30" s="2" t="s">
        <v>6</v>
      </c>
      <c r="F30" s="14">
        <v>12</v>
      </c>
      <c r="H30" s="15">
        <v>4</v>
      </c>
    </row>
    <row r="31" spans="1:16" ht="13.75" customHeight="1" x14ac:dyDescent="0.25">
      <c r="A31" s="2" t="s">
        <v>4</v>
      </c>
      <c r="B31" s="2" t="str">
        <f t="shared" si="0"/>
        <v>jeudi</v>
      </c>
      <c r="C31" s="3">
        <v>46191</v>
      </c>
      <c r="D31" s="2" t="s">
        <v>5</v>
      </c>
      <c r="E31" s="2" t="s">
        <v>6</v>
      </c>
      <c r="F31" s="14">
        <v>12</v>
      </c>
      <c r="H31" s="15">
        <v>4</v>
      </c>
    </row>
    <row r="32" spans="1:16" ht="13.75" customHeight="1" x14ac:dyDescent="0.25">
      <c r="A32" s="12" t="s">
        <v>4</v>
      </c>
      <c r="B32" s="12" t="str">
        <f t="shared" si="0"/>
        <v>vendredi</v>
      </c>
      <c r="C32" s="13">
        <v>46192</v>
      </c>
      <c r="D32" s="12" t="s">
        <v>5</v>
      </c>
      <c r="E32" s="12" t="s">
        <v>6</v>
      </c>
      <c r="F32">
        <v>12</v>
      </c>
      <c r="H32" s="15">
        <v>4</v>
      </c>
    </row>
    <row r="33" spans="1:6" ht="13.75" customHeight="1" x14ac:dyDescent="0.25">
      <c r="A33" s="2" t="s">
        <v>4</v>
      </c>
      <c r="B33" s="2" t="str">
        <f t="shared" si="0"/>
        <v>samedi</v>
      </c>
      <c r="C33" s="3">
        <v>46193</v>
      </c>
      <c r="D33" s="2" t="s">
        <v>9</v>
      </c>
      <c r="E33" s="2"/>
      <c r="F33">
        <v>0</v>
      </c>
    </row>
  </sheetData>
  <mergeCells count="5">
    <mergeCell ref="G3:G6"/>
    <mergeCell ref="G7:G12"/>
    <mergeCell ref="G14:G19"/>
    <mergeCell ref="G21:G26"/>
    <mergeCell ref="I21:I23"/>
  </mergeCells>
  <phoneticPr fontId="3" type="noConversion"/>
  <conditionalFormatting sqref="B3:B33">
    <cfRule type="containsText" dxfId="2" priority="1" operator="containsText" text="dimanche">
      <formula>NOT(ISERROR(SEARCH("dimanche",B3)))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BE5A1-A0C1-442B-AB09-46A8EF2A54FB}">
  <dimension ref="A2:P33"/>
  <sheetViews>
    <sheetView workbookViewId="0">
      <selection activeCell="I39" sqref="I39"/>
    </sheetView>
  </sheetViews>
  <sheetFormatPr baseColWidth="10" defaultRowHeight="15" customHeight="1" x14ac:dyDescent="0.25"/>
  <cols>
    <col min="1" max="2" width="16.54296875" customWidth="1"/>
    <col min="3" max="3" width="11.90625" bestFit="1" customWidth="1"/>
    <col min="4" max="4" width="10" bestFit="1" customWidth="1"/>
    <col min="5" max="5" width="7" bestFit="1" customWidth="1"/>
    <col min="6" max="6" width="5.90625" customWidth="1"/>
    <col min="9" max="9" width="14.81640625" bestFit="1" customWidth="1"/>
    <col min="10" max="10" width="8.90625" bestFit="1" customWidth="1"/>
    <col min="15" max="15" width="24.6328125" bestFit="1" customWidth="1"/>
    <col min="16" max="16" width="9" customWidth="1"/>
  </cols>
  <sheetData>
    <row r="2" spans="1:16" ht="13" x14ac:dyDescent="0.25">
      <c r="A2" s="1" t="s">
        <v>0</v>
      </c>
      <c r="B2" s="8" t="s">
        <v>37</v>
      </c>
      <c r="C2" s="1" t="s">
        <v>1</v>
      </c>
      <c r="D2" s="1" t="s">
        <v>2</v>
      </c>
      <c r="E2" s="1" t="s">
        <v>3</v>
      </c>
      <c r="F2" s="11" t="s">
        <v>51</v>
      </c>
      <c r="O2" s="5" t="s">
        <v>0</v>
      </c>
      <c r="P2" s="6" t="s">
        <v>4</v>
      </c>
    </row>
    <row r="3" spans="1:16" ht="13.75" customHeight="1" x14ac:dyDescent="0.25">
      <c r="A3" s="2" t="s">
        <v>4</v>
      </c>
      <c r="B3" s="2" t="str">
        <f t="shared" ref="B3:B33" si="0">TEXT(C3,"jjjj")</f>
        <v>jeudi</v>
      </c>
      <c r="C3" s="3">
        <v>46163</v>
      </c>
      <c r="D3" s="2" t="s">
        <v>5</v>
      </c>
      <c r="E3" s="2" t="s">
        <v>6</v>
      </c>
      <c r="F3" s="14">
        <v>12</v>
      </c>
      <c r="G3" s="41">
        <v>36</v>
      </c>
      <c r="H3" s="15">
        <v>4</v>
      </c>
      <c r="O3" s="9" t="s">
        <v>16</v>
      </c>
      <c r="P3" s="9">
        <v>25</v>
      </c>
    </row>
    <row r="4" spans="1:16" ht="13.75" customHeight="1" x14ac:dyDescent="0.25">
      <c r="A4" s="2" t="s">
        <v>4</v>
      </c>
      <c r="B4" s="2" t="str">
        <f t="shared" si="0"/>
        <v>vendredi</v>
      </c>
      <c r="C4" s="3">
        <v>46164</v>
      </c>
      <c r="D4" s="2" t="s">
        <v>5</v>
      </c>
      <c r="E4" s="2" t="s">
        <v>6</v>
      </c>
      <c r="F4" s="14">
        <v>12</v>
      </c>
      <c r="G4" s="41"/>
      <c r="H4" s="15">
        <v>4</v>
      </c>
      <c r="O4" s="9" t="s">
        <v>17</v>
      </c>
      <c r="P4" s="9">
        <v>1</v>
      </c>
    </row>
    <row r="5" spans="1:16" ht="13.75" customHeight="1" x14ac:dyDescent="0.25">
      <c r="A5" s="2" t="s">
        <v>4</v>
      </c>
      <c r="B5" s="2" t="str">
        <f t="shared" si="0"/>
        <v>samedi</v>
      </c>
      <c r="C5" s="3">
        <v>46165</v>
      </c>
      <c r="D5" s="2" t="s">
        <v>5</v>
      </c>
      <c r="E5" s="2" t="s">
        <v>6</v>
      </c>
      <c r="F5" s="14">
        <v>12</v>
      </c>
      <c r="G5" s="41"/>
      <c r="H5" s="15">
        <v>7</v>
      </c>
      <c r="O5" s="5" t="s">
        <v>18</v>
      </c>
      <c r="P5" s="7">
        <v>0</v>
      </c>
    </row>
    <row r="6" spans="1:16" ht="13.75" customHeight="1" x14ac:dyDescent="0.25">
      <c r="A6" s="2" t="s">
        <v>4</v>
      </c>
      <c r="B6" s="2" t="str">
        <f t="shared" si="0"/>
        <v>dimanche</v>
      </c>
      <c r="C6" s="3">
        <v>46166</v>
      </c>
      <c r="D6" s="2" t="s">
        <v>7</v>
      </c>
      <c r="E6" s="2"/>
      <c r="F6">
        <v>0</v>
      </c>
      <c r="G6" s="41"/>
      <c r="H6" s="15"/>
      <c r="O6" s="5" t="s">
        <v>19</v>
      </c>
      <c r="P6" s="7">
        <v>0</v>
      </c>
    </row>
    <row r="7" spans="1:16" ht="13.75" customHeight="1" x14ac:dyDescent="0.25">
      <c r="A7" s="2" t="s">
        <v>4</v>
      </c>
      <c r="B7" s="2" t="str">
        <f t="shared" si="0"/>
        <v>lundi</v>
      </c>
      <c r="C7" s="3">
        <v>46167</v>
      </c>
      <c r="D7" s="2" t="s">
        <v>5</v>
      </c>
      <c r="E7" s="2" t="s">
        <v>6</v>
      </c>
      <c r="F7" s="14">
        <v>12</v>
      </c>
      <c r="G7" s="41">
        <v>68</v>
      </c>
      <c r="H7" s="15">
        <v>4</v>
      </c>
      <c r="O7" s="5" t="s">
        <v>20</v>
      </c>
      <c r="P7" s="7">
        <v>0</v>
      </c>
    </row>
    <row r="8" spans="1:16" ht="13.75" customHeight="1" x14ac:dyDescent="0.25">
      <c r="A8" s="2" t="s">
        <v>4</v>
      </c>
      <c r="B8" s="2" t="str">
        <f t="shared" si="0"/>
        <v>mardi</v>
      </c>
      <c r="C8" s="3">
        <v>46168</v>
      </c>
      <c r="D8" s="2" t="s">
        <v>5</v>
      </c>
      <c r="E8" s="2" t="s">
        <v>6</v>
      </c>
      <c r="F8" s="14">
        <v>12</v>
      </c>
      <c r="G8" s="41"/>
      <c r="H8" s="15">
        <v>4</v>
      </c>
      <c r="O8" s="5" t="s">
        <v>21</v>
      </c>
      <c r="P8" s="7">
        <v>0</v>
      </c>
    </row>
    <row r="9" spans="1:16" ht="13.75" customHeight="1" x14ac:dyDescent="0.25">
      <c r="A9" s="2" t="s">
        <v>4</v>
      </c>
      <c r="B9" s="2" t="str">
        <f t="shared" si="0"/>
        <v>mercredi</v>
      </c>
      <c r="C9" s="3">
        <v>46169</v>
      </c>
      <c r="D9" s="2" t="s">
        <v>5</v>
      </c>
      <c r="E9" s="2" t="s">
        <v>6</v>
      </c>
      <c r="F9" s="14">
        <v>12</v>
      </c>
      <c r="G9" s="41"/>
      <c r="H9" s="15">
        <v>4</v>
      </c>
      <c r="O9" s="5" t="s">
        <v>22</v>
      </c>
      <c r="P9" s="7">
        <v>0</v>
      </c>
    </row>
    <row r="10" spans="1:16" ht="13.75" customHeight="1" x14ac:dyDescent="0.25">
      <c r="A10" s="2" t="s">
        <v>4</v>
      </c>
      <c r="B10" s="2" t="str">
        <f t="shared" si="0"/>
        <v>jeudi</v>
      </c>
      <c r="C10" s="3">
        <v>46170</v>
      </c>
      <c r="D10" s="2" t="s">
        <v>5</v>
      </c>
      <c r="E10" s="2" t="s">
        <v>6</v>
      </c>
      <c r="F10" s="14">
        <v>12</v>
      </c>
      <c r="G10" s="41"/>
      <c r="H10" s="15">
        <v>4</v>
      </c>
      <c r="O10" s="9" t="s">
        <v>23</v>
      </c>
      <c r="P10" s="10">
        <v>3</v>
      </c>
    </row>
    <row r="11" spans="1:16" ht="13.75" customHeight="1" x14ac:dyDescent="0.25">
      <c r="A11" s="2" t="s">
        <v>4</v>
      </c>
      <c r="B11" s="2" t="str">
        <f t="shared" si="0"/>
        <v>vendredi</v>
      </c>
      <c r="C11" s="3">
        <v>46171</v>
      </c>
      <c r="D11" s="2" t="s">
        <v>5</v>
      </c>
      <c r="E11" s="2" t="s">
        <v>6</v>
      </c>
      <c r="F11" s="14">
        <v>12</v>
      </c>
      <c r="G11" s="41"/>
      <c r="H11" s="15">
        <v>4</v>
      </c>
      <c r="O11" s="5" t="s">
        <v>24</v>
      </c>
      <c r="P11" s="7">
        <v>0</v>
      </c>
    </row>
    <row r="12" spans="1:16" ht="13.75" customHeight="1" x14ac:dyDescent="0.25">
      <c r="A12" s="2" t="s">
        <v>4</v>
      </c>
      <c r="B12" s="2" t="str">
        <f t="shared" si="0"/>
        <v>samedi</v>
      </c>
      <c r="C12" s="3">
        <v>46172</v>
      </c>
      <c r="D12" s="2" t="s">
        <v>5</v>
      </c>
      <c r="E12" s="2">
        <v>1</v>
      </c>
      <c r="F12" s="14">
        <v>8</v>
      </c>
      <c r="G12" s="41"/>
      <c r="H12" s="15">
        <v>3</v>
      </c>
      <c r="O12" s="5" t="s">
        <v>25</v>
      </c>
      <c r="P12" s="7">
        <v>0</v>
      </c>
    </row>
    <row r="13" spans="1:16" ht="13.75" customHeight="1" x14ac:dyDescent="0.25">
      <c r="A13" s="2" t="s">
        <v>4</v>
      </c>
      <c r="B13" s="2" t="str">
        <f t="shared" si="0"/>
        <v>dimanche</v>
      </c>
      <c r="C13" s="3">
        <v>46173</v>
      </c>
      <c r="D13" s="2" t="s">
        <v>5</v>
      </c>
      <c r="E13" s="2" t="s">
        <v>8</v>
      </c>
      <c r="F13">
        <v>8</v>
      </c>
      <c r="O13" s="5" t="s">
        <v>26</v>
      </c>
      <c r="P13" s="7">
        <v>0</v>
      </c>
    </row>
    <row r="14" spans="1:16" ht="13.75" customHeight="1" x14ac:dyDescent="0.25">
      <c r="A14" s="2" t="s">
        <v>4</v>
      </c>
      <c r="B14" s="2" t="str">
        <f t="shared" si="0"/>
        <v>lundi</v>
      </c>
      <c r="C14" s="3">
        <v>46174</v>
      </c>
      <c r="D14" s="2" t="s">
        <v>5</v>
      </c>
      <c r="E14" s="2" t="s">
        <v>8</v>
      </c>
      <c r="F14" s="14">
        <v>8</v>
      </c>
      <c r="G14" s="41">
        <v>48</v>
      </c>
      <c r="I14" s="11" t="s">
        <v>53</v>
      </c>
      <c r="J14" s="11" t="s">
        <v>52</v>
      </c>
      <c r="O14" s="5" t="s">
        <v>27</v>
      </c>
      <c r="P14" s="7">
        <v>0</v>
      </c>
    </row>
    <row r="15" spans="1:16" ht="13.75" customHeight="1" x14ac:dyDescent="0.25">
      <c r="A15" s="2" t="s">
        <v>4</v>
      </c>
      <c r="B15" s="2" t="str">
        <f t="shared" si="0"/>
        <v>mardi</v>
      </c>
      <c r="C15" s="3">
        <v>46175</v>
      </c>
      <c r="D15" s="2" t="s">
        <v>5</v>
      </c>
      <c r="E15" s="2" t="s">
        <v>8</v>
      </c>
      <c r="F15" s="14">
        <v>8</v>
      </c>
      <c r="G15" s="41"/>
      <c r="O15" s="5" t="s">
        <v>28</v>
      </c>
      <c r="P15" s="7">
        <v>0</v>
      </c>
    </row>
    <row r="16" spans="1:16" ht="13.75" customHeight="1" x14ac:dyDescent="0.25">
      <c r="A16" s="2" t="s">
        <v>4</v>
      </c>
      <c r="B16" s="2" t="str">
        <f t="shared" si="0"/>
        <v>mercredi</v>
      </c>
      <c r="C16" s="3">
        <v>46176</v>
      </c>
      <c r="D16" s="2" t="s">
        <v>5</v>
      </c>
      <c r="E16" s="2" t="s">
        <v>8</v>
      </c>
      <c r="F16" s="14">
        <v>8</v>
      </c>
      <c r="G16" s="41"/>
      <c r="O16" s="5" t="s">
        <v>29</v>
      </c>
      <c r="P16" s="7">
        <v>0</v>
      </c>
    </row>
    <row r="17" spans="1:16" ht="13.75" customHeight="1" x14ac:dyDescent="0.25">
      <c r="A17" s="2" t="s">
        <v>4</v>
      </c>
      <c r="B17" s="2" t="str">
        <f t="shared" si="0"/>
        <v>jeudi</v>
      </c>
      <c r="C17" s="3">
        <v>46177</v>
      </c>
      <c r="D17" s="2" t="s">
        <v>5</v>
      </c>
      <c r="E17" s="2" t="s">
        <v>8</v>
      </c>
      <c r="F17" s="14">
        <v>8</v>
      </c>
      <c r="G17" s="41"/>
      <c r="J17" s="11" t="s">
        <v>50</v>
      </c>
      <c r="K17">
        <v>130</v>
      </c>
      <c r="L17">
        <v>160</v>
      </c>
      <c r="O17" s="5" t="s">
        <v>30</v>
      </c>
      <c r="P17" s="7">
        <v>0</v>
      </c>
    </row>
    <row r="18" spans="1:16" ht="13.75" customHeight="1" x14ac:dyDescent="0.25">
      <c r="A18" s="2" t="s">
        <v>4</v>
      </c>
      <c r="B18" s="2" t="str">
        <f t="shared" si="0"/>
        <v>vendredi</v>
      </c>
      <c r="C18" s="3">
        <v>46178</v>
      </c>
      <c r="D18" s="2" t="s">
        <v>5</v>
      </c>
      <c r="E18" s="2" t="s">
        <v>8</v>
      </c>
      <c r="F18" s="14">
        <v>8</v>
      </c>
      <c r="G18" s="41"/>
      <c r="I18" s="11" t="s">
        <v>45</v>
      </c>
      <c r="J18" s="11" t="s">
        <v>54</v>
      </c>
      <c r="K18">
        <v>6</v>
      </c>
      <c r="L18">
        <v>9</v>
      </c>
      <c r="O18" s="5" t="s">
        <v>31</v>
      </c>
      <c r="P18" s="7">
        <v>0</v>
      </c>
    </row>
    <row r="19" spans="1:16" ht="13.75" customHeight="1" x14ac:dyDescent="0.25">
      <c r="A19" s="2" t="s">
        <v>4</v>
      </c>
      <c r="B19" s="2" t="str">
        <f t="shared" si="0"/>
        <v>samedi</v>
      </c>
      <c r="C19" s="3">
        <v>46179</v>
      </c>
      <c r="D19" s="2" t="s">
        <v>5</v>
      </c>
      <c r="E19" s="2" t="s">
        <v>8</v>
      </c>
      <c r="F19" s="14">
        <v>8</v>
      </c>
      <c r="G19" s="41"/>
      <c r="H19" s="15">
        <v>3</v>
      </c>
      <c r="I19" s="11" t="s">
        <v>46</v>
      </c>
      <c r="J19" s="11" t="s">
        <v>55</v>
      </c>
      <c r="K19">
        <v>6</v>
      </c>
      <c r="L19">
        <v>17</v>
      </c>
      <c r="O19" s="5" t="s">
        <v>32</v>
      </c>
      <c r="P19" s="7">
        <v>0</v>
      </c>
    </row>
    <row r="20" spans="1:16" ht="13.75" customHeight="1" x14ac:dyDescent="0.25">
      <c r="A20" s="2" t="s">
        <v>4</v>
      </c>
      <c r="B20" s="2" t="str">
        <f t="shared" si="0"/>
        <v>dimanche</v>
      </c>
      <c r="C20" s="3">
        <v>46180</v>
      </c>
      <c r="D20" s="2" t="s">
        <v>5</v>
      </c>
      <c r="E20" s="2" t="s">
        <v>8</v>
      </c>
      <c r="F20">
        <v>8</v>
      </c>
      <c r="I20" s="11" t="s">
        <v>47</v>
      </c>
      <c r="J20" s="11" t="s">
        <v>56</v>
      </c>
      <c r="K20">
        <v>3</v>
      </c>
      <c r="L20">
        <v>0</v>
      </c>
      <c r="O20" s="5" t="s">
        <v>33</v>
      </c>
      <c r="P20" s="7">
        <v>0</v>
      </c>
    </row>
    <row r="21" spans="1:16" ht="13.75" customHeight="1" x14ac:dyDescent="0.25">
      <c r="A21" s="2" t="s">
        <v>4</v>
      </c>
      <c r="B21" s="2" t="str">
        <f t="shared" si="0"/>
        <v>lundi</v>
      </c>
      <c r="C21" s="3">
        <v>46181</v>
      </c>
      <c r="D21" s="2" t="s">
        <v>5</v>
      </c>
      <c r="E21" s="2" t="s">
        <v>8</v>
      </c>
      <c r="F21" s="14">
        <v>8</v>
      </c>
      <c r="G21" s="41">
        <v>56</v>
      </c>
      <c r="I21" s="11" t="s">
        <v>48</v>
      </c>
      <c r="J21" s="11" t="s">
        <v>57</v>
      </c>
      <c r="K21">
        <v>6</v>
      </c>
      <c r="L21" s="4">
        <v>5</v>
      </c>
      <c r="M21" s="2"/>
      <c r="O21" s="5" t="s">
        <v>34</v>
      </c>
      <c r="P21" s="7">
        <v>0</v>
      </c>
    </row>
    <row r="22" spans="1:16" ht="13.75" customHeight="1" x14ac:dyDescent="0.25">
      <c r="A22" s="2" t="s">
        <v>4</v>
      </c>
      <c r="B22" s="2" t="str">
        <f t="shared" si="0"/>
        <v>mardi</v>
      </c>
      <c r="C22" s="3">
        <v>46182</v>
      </c>
      <c r="D22" s="2" t="s">
        <v>5</v>
      </c>
      <c r="E22" s="2" t="s">
        <v>8</v>
      </c>
      <c r="F22" s="14">
        <v>8</v>
      </c>
      <c r="G22" s="41"/>
      <c r="I22" s="11" t="s">
        <v>49</v>
      </c>
      <c r="J22" s="11" t="s">
        <v>66</v>
      </c>
      <c r="K22">
        <v>6</v>
      </c>
      <c r="L22">
        <v>14</v>
      </c>
      <c r="O22" s="5" t="s">
        <v>35</v>
      </c>
      <c r="P22" s="7">
        <v>0</v>
      </c>
    </row>
    <row r="23" spans="1:16" ht="13.75" customHeight="1" x14ac:dyDescent="0.3">
      <c r="A23" s="2" t="s">
        <v>4</v>
      </c>
      <c r="B23" s="2" t="str">
        <f t="shared" si="0"/>
        <v>mercredi</v>
      </c>
      <c r="C23" s="3">
        <v>46183</v>
      </c>
      <c r="D23" s="2" t="s">
        <v>5</v>
      </c>
      <c r="E23" s="2" t="s">
        <v>8</v>
      </c>
      <c r="F23" s="14">
        <v>8</v>
      </c>
      <c r="G23" s="41"/>
      <c r="K23" s="16">
        <f t="shared" ref="K23:L23" si="1">SUM(K18:K22)</f>
        <v>27</v>
      </c>
      <c r="L23" s="16">
        <f t="shared" si="1"/>
        <v>45</v>
      </c>
      <c r="O23" s="5" t="s">
        <v>36</v>
      </c>
      <c r="P23" s="7">
        <v>0</v>
      </c>
    </row>
    <row r="24" spans="1:16" ht="13.75" customHeight="1" x14ac:dyDescent="0.25">
      <c r="A24" s="2" t="s">
        <v>4</v>
      </c>
      <c r="B24" s="2" t="str">
        <f t="shared" si="0"/>
        <v>jeudi</v>
      </c>
      <c r="C24" s="3">
        <v>46184</v>
      </c>
      <c r="D24" s="2" t="s">
        <v>5</v>
      </c>
      <c r="E24" s="2" t="s">
        <v>8</v>
      </c>
      <c r="F24" s="14">
        <v>8</v>
      </c>
      <c r="G24" s="41"/>
      <c r="I24" s="11"/>
      <c r="O24" s="5" t="s">
        <v>10</v>
      </c>
      <c r="P24" s="7">
        <v>0</v>
      </c>
    </row>
    <row r="25" spans="1:16" ht="13.75" customHeight="1" x14ac:dyDescent="0.25">
      <c r="A25" s="2" t="s">
        <v>4</v>
      </c>
      <c r="B25" s="2" t="str">
        <f t="shared" si="0"/>
        <v>vendredi</v>
      </c>
      <c r="C25" s="3">
        <v>46185</v>
      </c>
      <c r="D25" s="2" t="s">
        <v>5</v>
      </c>
      <c r="E25" s="2" t="s">
        <v>6</v>
      </c>
      <c r="F25" s="14">
        <v>12</v>
      </c>
      <c r="G25" s="41"/>
      <c r="H25" s="15">
        <v>4</v>
      </c>
      <c r="I25" s="42" t="s">
        <v>65</v>
      </c>
      <c r="J25" s="17">
        <v>4</v>
      </c>
      <c r="K25" s="18" t="s">
        <v>38</v>
      </c>
      <c r="O25" s="5" t="s">
        <v>11</v>
      </c>
      <c r="P25" s="7">
        <v>0</v>
      </c>
    </row>
    <row r="26" spans="1:16" ht="13.75" customHeight="1" x14ac:dyDescent="0.25">
      <c r="A26" s="2" t="s">
        <v>4</v>
      </c>
      <c r="B26" s="2" t="str">
        <f t="shared" si="0"/>
        <v>samedi</v>
      </c>
      <c r="C26" s="3">
        <v>46186</v>
      </c>
      <c r="D26" s="2" t="s">
        <v>5</v>
      </c>
      <c r="E26" s="2" t="s">
        <v>6</v>
      </c>
      <c r="F26" s="14">
        <v>12</v>
      </c>
      <c r="G26" s="41"/>
      <c r="H26" s="15">
        <v>7</v>
      </c>
      <c r="I26" s="42"/>
      <c r="J26" s="17">
        <v>27</v>
      </c>
      <c r="K26" s="18" t="s">
        <v>60</v>
      </c>
      <c r="O26" s="5" t="s">
        <v>12</v>
      </c>
      <c r="P26" s="7">
        <v>0</v>
      </c>
    </row>
    <row r="27" spans="1:16" ht="13.75" customHeight="1" x14ac:dyDescent="0.25">
      <c r="A27" s="2" t="s">
        <v>4</v>
      </c>
      <c r="B27" s="2" t="str">
        <f t="shared" si="0"/>
        <v>dimanche</v>
      </c>
      <c r="C27" s="3">
        <v>46187</v>
      </c>
      <c r="D27" s="2" t="s">
        <v>5</v>
      </c>
      <c r="E27" s="2" t="s">
        <v>6</v>
      </c>
      <c r="F27">
        <v>12</v>
      </c>
      <c r="H27" s="15">
        <v>4</v>
      </c>
      <c r="I27" s="42"/>
      <c r="J27" s="17">
        <v>45</v>
      </c>
      <c r="K27" s="18" t="s">
        <v>61</v>
      </c>
      <c r="O27" s="5" t="s">
        <v>13</v>
      </c>
      <c r="P27" s="7">
        <v>27</v>
      </c>
    </row>
    <row r="28" spans="1:16" ht="13.75" customHeight="1" x14ac:dyDescent="0.25">
      <c r="A28" s="2" t="s">
        <v>4</v>
      </c>
      <c r="B28" s="2" t="str">
        <f t="shared" si="0"/>
        <v>lundi</v>
      </c>
      <c r="C28" s="3">
        <v>46188</v>
      </c>
      <c r="D28" s="2" t="s">
        <v>5</v>
      </c>
      <c r="E28" s="2" t="s">
        <v>6</v>
      </c>
      <c r="F28" s="14">
        <v>12</v>
      </c>
      <c r="H28" s="15">
        <v>4</v>
      </c>
      <c r="I28" s="11"/>
      <c r="O28" s="5" t="s">
        <v>14</v>
      </c>
      <c r="P28" s="7">
        <v>40</v>
      </c>
    </row>
    <row r="29" spans="1:16" ht="13.75" customHeight="1" x14ac:dyDescent="0.25">
      <c r="A29" s="2" t="s">
        <v>4</v>
      </c>
      <c r="B29" s="2" t="str">
        <f t="shared" si="0"/>
        <v>mardi</v>
      </c>
      <c r="C29" s="3">
        <v>46189</v>
      </c>
      <c r="D29" s="2" t="s">
        <v>5</v>
      </c>
      <c r="E29" s="2" t="s">
        <v>6</v>
      </c>
      <c r="F29" s="14">
        <v>12</v>
      </c>
      <c r="H29" s="15">
        <v>4</v>
      </c>
      <c r="I29" s="11"/>
      <c r="O29" s="9" t="s">
        <v>15</v>
      </c>
      <c r="P29" s="9">
        <v>4</v>
      </c>
    </row>
    <row r="30" spans="1:16" ht="13.75" customHeight="1" x14ac:dyDescent="0.25">
      <c r="A30" s="2" t="s">
        <v>4</v>
      </c>
      <c r="B30" s="2" t="str">
        <f t="shared" si="0"/>
        <v>mercredi</v>
      </c>
      <c r="C30" s="3">
        <v>46190</v>
      </c>
      <c r="D30" s="2" t="s">
        <v>5</v>
      </c>
      <c r="E30" s="2" t="s">
        <v>6</v>
      </c>
      <c r="F30" s="14">
        <v>12</v>
      </c>
      <c r="H30" s="15">
        <v>4</v>
      </c>
    </row>
    <row r="31" spans="1:16" ht="13.75" customHeight="1" x14ac:dyDescent="0.25">
      <c r="A31" s="2" t="s">
        <v>4</v>
      </c>
      <c r="B31" s="2" t="str">
        <f t="shared" si="0"/>
        <v>jeudi</v>
      </c>
      <c r="C31" s="3">
        <v>46191</v>
      </c>
      <c r="D31" s="2" t="s">
        <v>5</v>
      </c>
      <c r="E31" s="2" t="s">
        <v>6</v>
      </c>
      <c r="F31" s="14">
        <v>12</v>
      </c>
      <c r="H31" s="15">
        <v>4</v>
      </c>
      <c r="I31">
        <f>76-64</f>
        <v>12</v>
      </c>
    </row>
    <row r="32" spans="1:16" ht="13.75" customHeight="1" x14ac:dyDescent="0.25">
      <c r="A32" s="12" t="s">
        <v>4</v>
      </c>
      <c r="B32" s="12" t="str">
        <f t="shared" si="0"/>
        <v>vendredi</v>
      </c>
      <c r="C32" s="13">
        <v>46192</v>
      </c>
      <c r="D32" s="12" t="s">
        <v>5</v>
      </c>
      <c r="E32" s="12" t="s">
        <v>6</v>
      </c>
      <c r="F32">
        <v>12</v>
      </c>
      <c r="H32" s="15">
        <v>4</v>
      </c>
      <c r="N32" s="11"/>
    </row>
    <row r="33" spans="1:14" ht="13.75" customHeight="1" x14ac:dyDescent="0.25">
      <c r="A33" s="2" t="s">
        <v>4</v>
      </c>
      <c r="B33" s="2" t="str">
        <f t="shared" si="0"/>
        <v>samedi</v>
      </c>
      <c r="C33" s="3">
        <v>46193</v>
      </c>
      <c r="D33" s="2" t="s">
        <v>9</v>
      </c>
      <c r="E33" s="2"/>
      <c r="F33">
        <v>0</v>
      </c>
      <c r="N33" s="11"/>
    </row>
  </sheetData>
  <mergeCells count="5">
    <mergeCell ref="G3:G6"/>
    <mergeCell ref="G7:G12"/>
    <mergeCell ref="G14:G19"/>
    <mergeCell ref="G21:G26"/>
    <mergeCell ref="I25:I27"/>
  </mergeCells>
  <conditionalFormatting sqref="B3:B33">
    <cfRule type="containsText" dxfId="1" priority="1" operator="containsText" text="dimanche">
      <formula>NOT(ISERROR(SEARCH("dimanche",B3)))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A2907-F979-4D0F-9E06-54022129CB0C}">
  <dimension ref="A1:O31"/>
  <sheetViews>
    <sheetView tabSelected="1" workbookViewId="0">
      <selection activeCell="J23" sqref="J23"/>
    </sheetView>
  </sheetViews>
  <sheetFormatPr baseColWidth="10" defaultRowHeight="12.5" x14ac:dyDescent="0.25"/>
  <cols>
    <col min="1" max="1" width="8.36328125" bestFit="1" customWidth="1"/>
    <col min="2" max="2" width="8.90625" bestFit="1" customWidth="1"/>
    <col min="3" max="3" width="11.90625" bestFit="1" customWidth="1"/>
    <col min="4" max="4" width="10" bestFit="1" customWidth="1"/>
    <col min="5" max="5" width="7" bestFit="1" customWidth="1"/>
    <col min="8" max="8" width="24.1796875" bestFit="1" customWidth="1"/>
    <col min="9" max="9" width="10.08984375" bestFit="1" customWidth="1"/>
    <col min="12" max="12" width="15.453125" customWidth="1"/>
  </cols>
  <sheetData>
    <row r="1" spans="1:15" x14ac:dyDescent="0.25">
      <c r="A1" s="21" t="s">
        <v>0</v>
      </c>
      <c r="B1" s="22" t="s">
        <v>37</v>
      </c>
      <c r="C1" s="21" t="s">
        <v>1</v>
      </c>
      <c r="D1" s="21" t="s">
        <v>2</v>
      </c>
      <c r="E1" s="21" t="s">
        <v>3</v>
      </c>
      <c r="M1" s="18" t="s">
        <v>67</v>
      </c>
      <c r="N1" s="17"/>
    </row>
    <row r="2" spans="1:15" ht="15.5" x14ac:dyDescent="0.25">
      <c r="A2" s="23" t="s">
        <v>68</v>
      </c>
      <c r="B2" s="24" t="str">
        <f t="shared" ref="B2:B31" si="0">TEXT(C2,"jjjj")</f>
        <v>dimanche</v>
      </c>
      <c r="C2" s="25">
        <v>46194</v>
      </c>
      <c r="D2" s="23" t="s">
        <v>5</v>
      </c>
      <c r="E2" s="23" t="s">
        <v>69</v>
      </c>
      <c r="H2" s="26" t="s">
        <v>0</v>
      </c>
      <c r="I2" s="27" t="s">
        <v>68</v>
      </c>
      <c r="L2" s="28" t="s">
        <v>70</v>
      </c>
      <c r="M2" s="17">
        <v>0.19</v>
      </c>
      <c r="N2" s="17"/>
    </row>
    <row r="3" spans="1:15" ht="15.5" x14ac:dyDescent="0.25">
      <c r="A3" s="23" t="s">
        <v>68</v>
      </c>
      <c r="B3" s="24" t="str">
        <f t="shared" si="0"/>
        <v>dimanche</v>
      </c>
      <c r="C3" s="25">
        <v>46201</v>
      </c>
      <c r="D3" s="23" t="s">
        <v>5</v>
      </c>
      <c r="E3" s="23" t="s">
        <v>8</v>
      </c>
      <c r="H3" s="26" t="s">
        <v>16</v>
      </c>
      <c r="I3" s="29">
        <v>21</v>
      </c>
      <c r="J3">
        <v>10000</v>
      </c>
      <c r="L3" s="28" t="s">
        <v>71</v>
      </c>
      <c r="M3" s="17">
        <v>0.28499999999999998</v>
      </c>
      <c r="N3" s="17"/>
    </row>
    <row r="4" spans="1:15" ht="15.5" x14ac:dyDescent="0.25">
      <c r="A4" s="23" t="s">
        <v>68</v>
      </c>
      <c r="B4" s="24" t="str">
        <f t="shared" si="0"/>
        <v>mardi</v>
      </c>
      <c r="C4" s="25">
        <v>46203</v>
      </c>
      <c r="D4" s="23" t="s">
        <v>5</v>
      </c>
      <c r="E4" s="23" t="s">
        <v>69</v>
      </c>
      <c r="H4" s="26" t="s">
        <v>17</v>
      </c>
      <c r="I4" s="29">
        <v>4</v>
      </c>
      <c r="L4" s="28" t="s">
        <v>72</v>
      </c>
      <c r="M4" s="17">
        <v>0.33250000000000002</v>
      </c>
      <c r="N4" s="17"/>
    </row>
    <row r="5" spans="1:15" ht="15.5" x14ac:dyDescent="0.25">
      <c r="A5" s="23" t="s">
        <v>68</v>
      </c>
      <c r="B5" s="24" t="str">
        <f t="shared" si="0"/>
        <v>dimanche</v>
      </c>
      <c r="C5" s="25">
        <v>46208</v>
      </c>
      <c r="D5" s="23" t="s">
        <v>5</v>
      </c>
      <c r="E5" s="23" t="s">
        <v>73</v>
      </c>
      <c r="H5" s="26" t="s">
        <v>18</v>
      </c>
      <c r="I5" s="29">
        <v>0</v>
      </c>
    </row>
    <row r="6" spans="1:15" ht="15.5" x14ac:dyDescent="0.25">
      <c r="A6" s="23" t="s">
        <v>68</v>
      </c>
      <c r="B6" s="24" t="str">
        <f t="shared" si="0"/>
        <v>dimanche</v>
      </c>
      <c r="C6" s="25">
        <v>46215</v>
      </c>
      <c r="D6" s="23" t="s">
        <v>5</v>
      </c>
      <c r="E6" s="23" t="s">
        <v>73</v>
      </c>
      <c r="H6" s="26" t="s">
        <v>19</v>
      </c>
      <c r="I6" s="29">
        <v>0</v>
      </c>
    </row>
    <row r="7" spans="1:15" ht="15.5" x14ac:dyDescent="0.25">
      <c r="A7" s="23" t="s">
        <v>68</v>
      </c>
      <c r="B7" s="24" t="str">
        <f t="shared" si="0"/>
        <v>dimanche</v>
      </c>
      <c r="C7" s="25">
        <v>46222</v>
      </c>
      <c r="D7" s="23" t="s">
        <v>5</v>
      </c>
      <c r="E7" s="23" t="s">
        <v>69</v>
      </c>
      <c r="H7" s="26" t="s">
        <v>20</v>
      </c>
      <c r="I7" s="29">
        <v>0</v>
      </c>
    </row>
    <row r="8" spans="1:15" ht="15.5" x14ac:dyDescent="0.3">
      <c r="A8" s="23" t="s">
        <v>68</v>
      </c>
      <c r="B8" s="23" t="str">
        <f t="shared" si="0"/>
        <v>lundi</v>
      </c>
      <c r="C8" s="25">
        <v>46195</v>
      </c>
      <c r="D8" s="23" t="s">
        <v>5</v>
      </c>
      <c r="E8" s="23" t="s">
        <v>69</v>
      </c>
      <c r="H8" s="26" t="s">
        <v>21</v>
      </c>
      <c r="I8" s="29">
        <v>0</v>
      </c>
      <c r="L8" s="30" t="s">
        <v>74</v>
      </c>
    </row>
    <row r="9" spans="1:15" ht="15.5" x14ac:dyDescent="0.25">
      <c r="A9" s="23" t="s">
        <v>68</v>
      </c>
      <c r="B9" s="23" t="str">
        <f t="shared" si="0"/>
        <v>mardi</v>
      </c>
      <c r="C9" s="25">
        <v>46196</v>
      </c>
      <c r="D9" s="23" t="s">
        <v>5</v>
      </c>
      <c r="E9" s="23" t="s">
        <v>69</v>
      </c>
      <c r="H9" s="26" t="s">
        <v>22</v>
      </c>
      <c r="I9" s="29">
        <v>0</v>
      </c>
    </row>
    <row r="10" spans="1:15" ht="15.5" x14ac:dyDescent="0.25">
      <c r="A10" s="23" t="s">
        <v>68</v>
      </c>
      <c r="B10" s="23" t="str">
        <f t="shared" si="0"/>
        <v>mercredi</v>
      </c>
      <c r="C10" s="25">
        <v>46197</v>
      </c>
      <c r="D10" s="23" t="s">
        <v>5</v>
      </c>
      <c r="E10" s="23" t="s">
        <v>73</v>
      </c>
      <c r="H10" s="31" t="s">
        <v>23</v>
      </c>
      <c r="I10" s="32">
        <v>5</v>
      </c>
      <c r="L10" s="11" t="s">
        <v>84</v>
      </c>
    </row>
    <row r="11" spans="1:15" ht="15.5" x14ac:dyDescent="0.25">
      <c r="A11" s="23" t="s">
        <v>68</v>
      </c>
      <c r="B11" s="23" t="str">
        <f t="shared" si="0"/>
        <v>jeudi</v>
      </c>
      <c r="C11" s="25">
        <v>46198</v>
      </c>
      <c r="D11" s="23" t="s">
        <v>5</v>
      </c>
      <c r="E11" s="23" t="s">
        <v>73</v>
      </c>
      <c r="H11" s="26" t="s">
        <v>24</v>
      </c>
      <c r="I11" s="29">
        <v>1</v>
      </c>
    </row>
    <row r="12" spans="1:15" ht="15.5" x14ac:dyDescent="0.25">
      <c r="A12" s="23" t="s">
        <v>68</v>
      </c>
      <c r="B12" s="23" t="str">
        <f t="shared" si="0"/>
        <v>vendredi</v>
      </c>
      <c r="C12" s="25">
        <v>46199</v>
      </c>
      <c r="D12" s="23" t="s">
        <v>9</v>
      </c>
      <c r="E12" s="23"/>
      <c r="H12" s="26" t="s">
        <v>25</v>
      </c>
      <c r="I12" s="29">
        <v>0</v>
      </c>
      <c r="L12" s="43" t="s">
        <v>75</v>
      </c>
      <c r="M12" s="44"/>
      <c r="N12" s="45"/>
      <c r="O12" s="18" t="s">
        <v>67</v>
      </c>
    </row>
    <row r="13" spans="1:15" ht="15.5" x14ac:dyDescent="0.25">
      <c r="A13" s="23" t="s">
        <v>68</v>
      </c>
      <c r="B13" s="23" t="str">
        <f t="shared" si="0"/>
        <v>samedi</v>
      </c>
      <c r="C13" s="25">
        <v>46200</v>
      </c>
      <c r="D13" s="23" t="s">
        <v>5</v>
      </c>
      <c r="E13" s="23" t="s">
        <v>8</v>
      </c>
      <c r="H13" s="31" t="s">
        <v>26</v>
      </c>
      <c r="I13" s="32">
        <v>1</v>
      </c>
      <c r="L13" s="46" t="s">
        <v>76</v>
      </c>
      <c r="M13" s="47"/>
      <c r="N13" s="48"/>
      <c r="O13" s="33">
        <v>0.19</v>
      </c>
    </row>
    <row r="14" spans="1:15" ht="15.5" x14ac:dyDescent="0.25">
      <c r="A14" s="23" t="s">
        <v>68</v>
      </c>
      <c r="B14" s="23" t="str">
        <f t="shared" si="0"/>
        <v>lundi</v>
      </c>
      <c r="C14" s="25">
        <v>46202</v>
      </c>
      <c r="D14" s="23" t="s">
        <v>5</v>
      </c>
      <c r="E14" s="23" t="s">
        <v>8</v>
      </c>
      <c r="H14" s="26" t="s">
        <v>27</v>
      </c>
      <c r="I14" s="29">
        <v>5</v>
      </c>
      <c r="J14">
        <f>J3*M2</f>
        <v>1900</v>
      </c>
      <c r="L14" s="46" t="s">
        <v>77</v>
      </c>
      <c r="M14" s="47"/>
      <c r="N14" s="48"/>
      <c r="O14" s="34">
        <v>0.28499999999999998</v>
      </c>
    </row>
    <row r="15" spans="1:15" ht="15.5" x14ac:dyDescent="0.25">
      <c r="A15" s="23" t="s">
        <v>68</v>
      </c>
      <c r="B15" s="23" t="str">
        <f t="shared" si="0"/>
        <v>mercredi</v>
      </c>
      <c r="C15" s="25">
        <v>46204</v>
      </c>
      <c r="D15" s="23" t="s">
        <v>9</v>
      </c>
      <c r="E15" s="23"/>
      <c r="H15" s="26" t="s">
        <v>28</v>
      </c>
      <c r="I15" s="29">
        <v>7</v>
      </c>
      <c r="L15" s="46" t="s">
        <v>78</v>
      </c>
      <c r="M15" s="47"/>
      <c r="N15" s="48"/>
      <c r="O15" s="34">
        <v>0.33250000000000002</v>
      </c>
    </row>
    <row r="16" spans="1:15" ht="15.5" x14ac:dyDescent="0.25">
      <c r="A16" s="23" t="s">
        <v>68</v>
      </c>
      <c r="B16" s="23" t="str">
        <f t="shared" si="0"/>
        <v>jeudi</v>
      </c>
      <c r="C16" s="25">
        <v>46205</v>
      </c>
      <c r="D16" s="23" t="s">
        <v>5</v>
      </c>
      <c r="E16" s="23" t="s">
        <v>69</v>
      </c>
      <c r="H16" s="26" t="s">
        <v>29</v>
      </c>
      <c r="I16" s="29">
        <v>0</v>
      </c>
    </row>
    <row r="17" spans="1:12" ht="15.5" x14ac:dyDescent="0.3">
      <c r="A17" s="23" t="s">
        <v>68</v>
      </c>
      <c r="B17" s="23" t="str">
        <f t="shared" si="0"/>
        <v>vendredi</v>
      </c>
      <c r="C17" s="25">
        <v>46206</v>
      </c>
      <c r="D17" s="23" t="s">
        <v>5</v>
      </c>
      <c r="E17" s="23" t="s">
        <v>73</v>
      </c>
      <c r="H17" s="26" t="s">
        <v>30</v>
      </c>
      <c r="I17" s="29">
        <v>2</v>
      </c>
      <c r="L17" s="30" t="s">
        <v>79</v>
      </c>
    </row>
    <row r="18" spans="1:12" ht="15.5" x14ac:dyDescent="0.25">
      <c r="A18" s="23" t="s">
        <v>68</v>
      </c>
      <c r="B18" s="23" t="str">
        <f t="shared" si="0"/>
        <v>samedi</v>
      </c>
      <c r="C18" s="25">
        <v>46207</v>
      </c>
      <c r="D18" s="23" t="s">
        <v>5</v>
      </c>
      <c r="E18" s="23" t="s">
        <v>73</v>
      </c>
      <c r="H18" s="26" t="s">
        <v>31</v>
      </c>
      <c r="I18" s="29">
        <v>3</v>
      </c>
    </row>
    <row r="19" spans="1:12" ht="15.5" x14ac:dyDescent="0.25">
      <c r="A19" s="23" t="s">
        <v>68</v>
      </c>
      <c r="B19" s="23" t="str">
        <f t="shared" si="0"/>
        <v>lundi</v>
      </c>
      <c r="C19" s="25">
        <v>46209</v>
      </c>
      <c r="D19" s="23" t="s">
        <v>5</v>
      </c>
      <c r="E19" s="23" t="s">
        <v>8</v>
      </c>
      <c r="H19" s="26" t="s">
        <v>32</v>
      </c>
      <c r="I19" s="29">
        <v>0</v>
      </c>
      <c r="L19" s="11" t="s">
        <v>80</v>
      </c>
    </row>
    <row r="20" spans="1:12" ht="15.5" x14ac:dyDescent="0.25">
      <c r="A20" s="23" t="s">
        <v>68</v>
      </c>
      <c r="B20" s="23" t="str">
        <f t="shared" si="0"/>
        <v>mardi</v>
      </c>
      <c r="C20" s="25">
        <v>46210</v>
      </c>
      <c r="D20" s="23" t="s">
        <v>5</v>
      </c>
      <c r="E20" s="23" t="s">
        <v>8</v>
      </c>
      <c r="H20" s="26" t="s">
        <v>33</v>
      </c>
      <c r="I20" s="29">
        <v>0</v>
      </c>
    </row>
    <row r="21" spans="1:12" ht="15.5" x14ac:dyDescent="0.25">
      <c r="A21" s="23" t="s">
        <v>68</v>
      </c>
      <c r="B21" s="23" t="str">
        <f t="shared" si="0"/>
        <v>mercredi</v>
      </c>
      <c r="C21" s="25">
        <v>46211</v>
      </c>
      <c r="D21" s="23" t="s">
        <v>5</v>
      </c>
      <c r="E21" s="23" t="s">
        <v>8</v>
      </c>
      <c r="H21" s="26" t="s">
        <v>34</v>
      </c>
      <c r="I21" s="29">
        <v>0</v>
      </c>
      <c r="L21" s="11" t="s">
        <v>81</v>
      </c>
    </row>
    <row r="22" spans="1:12" ht="15.5" x14ac:dyDescent="0.25">
      <c r="A22" s="23" t="s">
        <v>68</v>
      </c>
      <c r="B22" s="23" t="str">
        <f t="shared" si="0"/>
        <v>jeudi</v>
      </c>
      <c r="C22" s="25">
        <v>46212</v>
      </c>
      <c r="D22" s="23" t="s">
        <v>5</v>
      </c>
      <c r="E22" s="23" t="s">
        <v>69</v>
      </c>
      <c r="H22" s="26" t="s">
        <v>35</v>
      </c>
      <c r="I22" s="29">
        <v>0</v>
      </c>
      <c r="L22" s="11" t="s">
        <v>82</v>
      </c>
    </row>
    <row r="23" spans="1:12" ht="15.5" x14ac:dyDescent="0.25">
      <c r="A23" s="23" t="s">
        <v>68</v>
      </c>
      <c r="B23" s="23" t="str">
        <f t="shared" si="0"/>
        <v>vendredi</v>
      </c>
      <c r="C23" s="25">
        <v>46213</v>
      </c>
      <c r="D23" s="23" t="s">
        <v>5</v>
      </c>
      <c r="E23" s="23" t="s">
        <v>69</v>
      </c>
      <c r="H23" s="26" t="s">
        <v>36</v>
      </c>
      <c r="I23" s="29">
        <v>0</v>
      </c>
    </row>
    <row r="24" spans="1:12" ht="15.5" x14ac:dyDescent="0.25">
      <c r="A24" s="23" t="s">
        <v>68</v>
      </c>
      <c r="B24" s="23" t="str">
        <f t="shared" si="0"/>
        <v>samedi</v>
      </c>
      <c r="C24" s="25">
        <v>46214</v>
      </c>
      <c r="D24" s="23" t="s">
        <v>5</v>
      </c>
      <c r="E24" s="23" t="s">
        <v>69</v>
      </c>
      <c r="H24" s="35"/>
      <c r="I24" s="36"/>
    </row>
    <row r="25" spans="1:12" ht="15.5" x14ac:dyDescent="0.25">
      <c r="A25" s="23" t="s">
        <v>68</v>
      </c>
      <c r="B25" s="23" t="str">
        <f t="shared" si="0"/>
        <v>lundi</v>
      </c>
      <c r="C25" s="25">
        <v>46216</v>
      </c>
      <c r="D25" s="23" t="s">
        <v>5</v>
      </c>
      <c r="E25" s="23" t="s">
        <v>73</v>
      </c>
      <c r="H25" s="35"/>
      <c r="I25" s="37"/>
    </row>
    <row r="26" spans="1:12" ht="15.5" x14ac:dyDescent="0.25">
      <c r="A26" s="23" t="s">
        <v>68</v>
      </c>
      <c r="B26" s="23" t="str">
        <f t="shared" si="0"/>
        <v>mardi</v>
      </c>
      <c r="C26" s="25">
        <v>46217</v>
      </c>
      <c r="D26" s="23" t="s">
        <v>9</v>
      </c>
      <c r="E26" s="23"/>
      <c r="H26" s="35"/>
      <c r="I26" s="36"/>
    </row>
    <row r="27" spans="1:12" x14ac:dyDescent="0.25">
      <c r="A27" s="23" t="s">
        <v>68</v>
      </c>
      <c r="B27" s="23" t="str">
        <f t="shared" si="0"/>
        <v>mercredi</v>
      </c>
      <c r="C27" s="25">
        <v>46218</v>
      </c>
      <c r="D27" s="23" t="s">
        <v>5</v>
      </c>
      <c r="E27" s="23" t="s">
        <v>8</v>
      </c>
      <c r="H27" s="4"/>
      <c r="I27" s="38"/>
    </row>
    <row r="28" spans="1:12" x14ac:dyDescent="0.25">
      <c r="A28" s="23" t="s">
        <v>68</v>
      </c>
      <c r="B28" s="23" t="str">
        <f t="shared" si="0"/>
        <v>jeudi</v>
      </c>
      <c r="C28" s="25">
        <v>46219</v>
      </c>
      <c r="D28" s="23" t="s">
        <v>5</v>
      </c>
      <c r="E28" s="23" t="s">
        <v>8</v>
      </c>
    </row>
    <row r="29" spans="1:12" x14ac:dyDescent="0.25">
      <c r="A29" s="23" t="s">
        <v>68</v>
      </c>
      <c r="B29" s="23" t="str">
        <f t="shared" si="0"/>
        <v>vendredi</v>
      </c>
      <c r="C29" s="25">
        <v>46220</v>
      </c>
      <c r="D29" s="23" t="s">
        <v>5</v>
      </c>
      <c r="E29" s="23" t="s">
        <v>8</v>
      </c>
    </row>
    <row r="30" spans="1:12" x14ac:dyDescent="0.25">
      <c r="A30" s="23" t="s">
        <v>68</v>
      </c>
      <c r="B30" s="23" t="str">
        <f t="shared" si="0"/>
        <v>samedi</v>
      </c>
      <c r="C30" s="25">
        <v>46221</v>
      </c>
      <c r="D30" s="23" t="s">
        <v>5</v>
      </c>
      <c r="E30" s="23" t="s">
        <v>69</v>
      </c>
    </row>
    <row r="31" spans="1:12" x14ac:dyDescent="0.25">
      <c r="A31" s="23" t="s">
        <v>68</v>
      </c>
      <c r="B31" s="23" t="str">
        <f t="shared" si="0"/>
        <v>lundi</v>
      </c>
      <c r="C31" s="25">
        <v>46223</v>
      </c>
      <c r="D31" s="23" t="s">
        <v>9</v>
      </c>
      <c r="E31" s="23"/>
    </row>
  </sheetData>
  <mergeCells count="4">
    <mergeCell ref="L12:N12"/>
    <mergeCell ref="L13:N13"/>
    <mergeCell ref="L14:N14"/>
    <mergeCell ref="L15:N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E771-4BA1-491A-AB4A-EA76ADDBA219}">
  <dimension ref="A1:O33"/>
  <sheetViews>
    <sheetView workbookViewId="0">
      <selection activeCell="F33" sqref="F33"/>
    </sheetView>
  </sheetViews>
  <sheetFormatPr baseColWidth="10" defaultRowHeight="15" customHeight="1" x14ac:dyDescent="0.25"/>
  <cols>
    <col min="1" max="2" width="16.54296875" customWidth="1"/>
    <col min="3" max="3" width="11.90625" bestFit="1" customWidth="1"/>
    <col min="4" max="4" width="12.6328125" bestFit="1" customWidth="1"/>
    <col min="5" max="5" width="5.90625" customWidth="1"/>
    <col min="8" max="8" width="14.81640625" bestFit="1" customWidth="1"/>
    <col min="9" max="9" width="8.90625" bestFit="1" customWidth="1"/>
    <col min="14" max="14" width="24.6328125" bestFit="1" customWidth="1"/>
    <col min="15" max="15" width="9" customWidth="1"/>
  </cols>
  <sheetData>
    <row r="1" spans="1:15" ht="15" customHeight="1" x14ac:dyDescent="0.25">
      <c r="A1" s="1" t="s">
        <v>0</v>
      </c>
      <c r="B1" s="2" t="s">
        <v>4</v>
      </c>
    </row>
    <row r="2" spans="1:15" ht="13" x14ac:dyDescent="0.25">
      <c r="B2" s="8" t="s">
        <v>37</v>
      </c>
      <c r="C2" s="1" t="s">
        <v>1</v>
      </c>
      <c r="D2" s="40" t="s">
        <v>83</v>
      </c>
      <c r="E2" s="11" t="s">
        <v>51</v>
      </c>
      <c r="N2" s="5" t="s">
        <v>0</v>
      </c>
      <c r="O2" s="6" t="s">
        <v>4</v>
      </c>
    </row>
    <row r="3" spans="1:15" ht="13.75" customHeight="1" x14ac:dyDescent="0.25">
      <c r="B3" s="2" t="str">
        <f t="shared" ref="B3:B33" si="0">TEXT(C3,"jjjj")</f>
        <v>jeudi</v>
      </c>
      <c r="C3" s="3">
        <v>46163</v>
      </c>
      <c r="D3" s="2">
        <v>996</v>
      </c>
      <c r="E3" s="14">
        <v>12</v>
      </c>
      <c r="F3" s="41">
        <v>36</v>
      </c>
      <c r="G3" s="15">
        <v>4</v>
      </c>
      <c r="N3" s="9" t="s">
        <v>16</v>
      </c>
      <c r="O3" s="9">
        <v>25</v>
      </c>
    </row>
    <row r="4" spans="1:15" ht="13.75" customHeight="1" x14ac:dyDescent="0.25">
      <c r="A4" s="2"/>
      <c r="B4" s="2" t="str">
        <f t="shared" si="0"/>
        <v>vendredi</v>
      </c>
      <c r="C4" s="3">
        <v>46164</v>
      </c>
      <c r="D4" s="2">
        <v>996</v>
      </c>
      <c r="E4" s="14">
        <v>12</v>
      </c>
      <c r="F4" s="41"/>
      <c r="G4" s="15">
        <v>4</v>
      </c>
      <c r="N4" s="9" t="s">
        <v>17</v>
      </c>
      <c r="O4" s="9">
        <v>1</v>
      </c>
    </row>
    <row r="5" spans="1:15" ht="13.75" customHeight="1" x14ac:dyDescent="0.25">
      <c r="A5" s="2"/>
      <c r="B5" s="2" t="str">
        <f t="shared" si="0"/>
        <v>samedi</v>
      </c>
      <c r="C5" s="3">
        <v>46165</v>
      </c>
      <c r="D5" s="2">
        <v>996</v>
      </c>
      <c r="E5" s="14">
        <v>12</v>
      </c>
      <c r="F5" s="41"/>
      <c r="G5" s="15">
        <v>7</v>
      </c>
      <c r="N5" s="5" t="s">
        <v>18</v>
      </c>
      <c r="O5" s="7">
        <v>0</v>
      </c>
    </row>
    <row r="6" spans="1:15" ht="13.75" customHeight="1" x14ac:dyDescent="0.25">
      <c r="A6" s="2"/>
      <c r="B6" s="2" t="str">
        <f t="shared" si="0"/>
        <v>dimanche</v>
      </c>
      <c r="C6" s="3">
        <v>46166</v>
      </c>
      <c r="D6" s="39" t="s">
        <v>7</v>
      </c>
      <c r="E6">
        <v>0</v>
      </c>
      <c r="F6" s="41"/>
      <c r="G6" s="15"/>
      <c r="N6" s="5" t="s">
        <v>19</v>
      </c>
      <c r="O6" s="7">
        <v>0</v>
      </c>
    </row>
    <row r="7" spans="1:15" ht="13.75" customHeight="1" x14ac:dyDescent="0.25">
      <c r="A7" s="2"/>
      <c r="B7" s="2" t="str">
        <f t="shared" si="0"/>
        <v>lundi</v>
      </c>
      <c r="C7" s="3">
        <v>46167</v>
      </c>
      <c r="D7" s="2">
        <v>996</v>
      </c>
      <c r="E7" s="14">
        <v>12</v>
      </c>
      <c r="F7" s="41">
        <v>68</v>
      </c>
      <c r="G7" s="15">
        <v>4</v>
      </c>
      <c r="N7" s="5" t="s">
        <v>20</v>
      </c>
      <c r="O7" s="7">
        <v>0</v>
      </c>
    </row>
    <row r="8" spans="1:15" ht="13.75" customHeight="1" x14ac:dyDescent="0.25">
      <c r="A8" s="2"/>
      <c r="B8" s="2" t="str">
        <f t="shared" si="0"/>
        <v>mardi</v>
      </c>
      <c r="C8" s="3">
        <v>46168</v>
      </c>
      <c r="D8" s="2">
        <v>996</v>
      </c>
      <c r="E8" s="14">
        <v>12</v>
      </c>
      <c r="F8" s="41"/>
      <c r="G8" s="15">
        <v>4</v>
      </c>
      <c r="N8" s="5" t="s">
        <v>21</v>
      </c>
      <c r="O8" s="7">
        <v>0</v>
      </c>
    </row>
    <row r="9" spans="1:15" ht="13.75" customHeight="1" x14ac:dyDescent="0.25">
      <c r="A9" s="2"/>
      <c r="B9" s="2" t="str">
        <f t="shared" si="0"/>
        <v>mercredi</v>
      </c>
      <c r="C9" s="3">
        <v>46169</v>
      </c>
      <c r="D9" s="2">
        <v>996</v>
      </c>
      <c r="E9" s="14">
        <v>12</v>
      </c>
      <c r="F9" s="41"/>
      <c r="G9" s="15">
        <v>4</v>
      </c>
      <c r="N9" s="5" t="s">
        <v>22</v>
      </c>
      <c r="O9" s="7">
        <v>0</v>
      </c>
    </row>
    <row r="10" spans="1:15" ht="13.75" customHeight="1" x14ac:dyDescent="0.25">
      <c r="A10" s="2"/>
      <c r="B10" s="2" t="str">
        <f t="shared" si="0"/>
        <v>jeudi</v>
      </c>
      <c r="C10" s="3">
        <v>46170</v>
      </c>
      <c r="D10" s="2">
        <v>996</v>
      </c>
      <c r="E10" s="14">
        <v>12</v>
      </c>
      <c r="F10" s="41"/>
      <c r="G10" s="15">
        <v>4</v>
      </c>
      <c r="N10" s="9" t="s">
        <v>23</v>
      </c>
      <c r="O10" s="10">
        <v>3</v>
      </c>
    </row>
    <row r="11" spans="1:15" ht="13.75" customHeight="1" x14ac:dyDescent="0.25">
      <c r="A11" s="2"/>
      <c r="B11" s="2" t="str">
        <f t="shared" si="0"/>
        <v>vendredi</v>
      </c>
      <c r="C11" s="3">
        <v>46171</v>
      </c>
      <c r="D11" s="2">
        <v>996</v>
      </c>
      <c r="E11" s="14">
        <v>12</v>
      </c>
      <c r="F11" s="41"/>
      <c r="G11" s="15">
        <v>4</v>
      </c>
      <c r="N11" s="5" t="s">
        <v>24</v>
      </c>
      <c r="O11" s="7">
        <v>0</v>
      </c>
    </row>
    <row r="12" spans="1:15" ht="13.75" customHeight="1" x14ac:dyDescent="0.25">
      <c r="A12" s="2"/>
      <c r="B12" s="2" t="str">
        <f t="shared" si="0"/>
        <v>samedi</v>
      </c>
      <c r="C12" s="3">
        <v>46172</v>
      </c>
      <c r="D12" s="2">
        <v>991</v>
      </c>
      <c r="E12" s="14">
        <v>8</v>
      </c>
      <c r="F12" s="41"/>
      <c r="G12" s="15">
        <v>3</v>
      </c>
      <c r="N12" s="5" t="s">
        <v>25</v>
      </c>
      <c r="O12" s="7">
        <v>0</v>
      </c>
    </row>
    <row r="13" spans="1:15" ht="13.75" customHeight="1" x14ac:dyDescent="0.25">
      <c r="A13" s="2"/>
      <c r="B13" s="2" t="str">
        <f t="shared" si="0"/>
        <v>dimanche</v>
      </c>
      <c r="C13" s="3">
        <v>46173</v>
      </c>
      <c r="D13" s="2">
        <v>991</v>
      </c>
      <c r="E13">
        <v>8</v>
      </c>
      <c r="N13" s="5" t="s">
        <v>26</v>
      </c>
      <c r="O13" s="7">
        <v>0</v>
      </c>
    </row>
    <row r="14" spans="1:15" ht="13.75" customHeight="1" x14ac:dyDescent="0.25">
      <c r="A14" s="2"/>
      <c r="B14" s="2" t="str">
        <f t="shared" si="0"/>
        <v>lundi</v>
      </c>
      <c r="C14" s="3">
        <v>46174</v>
      </c>
      <c r="D14" s="2">
        <v>991</v>
      </c>
      <c r="E14" s="14">
        <v>8</v>
      </c>
      <c r="F14" s="41">
        <v>48</v>
      </c>
      <c r="H14" s="11" t="s">
        <v>53</v>
      </c>
      <c r="I14" s="11" t="s">
        <v>52</v>
      </c>
      <c r="N14" s="5" t="s">
        <v>27</v>
      </c>
      <c r="O14" s="7">
        <v>0</v>
      </c>
    </row>
    <row r="15" spans="1:15" ht="13.75" customHeight="1" x14ac:dyDescent="0.25">
      <c r="A15" s="2"/>
      <c r="B15" s="2" t="str">
        <f t="shared" si="0"/>
        <v>mardi</v>
      </c>
      <c r="C15" s="3">
        <v>46175</v>
      </c>
      <c r="D15" s="2">
        <v>991</v>
      </c>
      <c r="E15" s="14">
        <v>8</v>
      </c>
      <c r="F15" s="41"/>
      <c r="N15" s="5" t="s">
        <v>28</v>
      </c>
      <c r="O15" s="7">
        <v>0</v>
      </c>
    </row>
    <row r="16" spans="1:15" ht="13.75" customHeight="1" x14ac:dyDescent="0.25">
      <c r="A16" s="2"/>
      <c r="B16" s="2" t="str">
        <f t="shared" si="0"/>
        <v>mercredi</v>
      </c>
      <c r="C16" s="3">
        <v>46176</v>
      </c>
      <c r="D16" s="2">
        <v>991</v>
      </c>
      <c r="E16" s="14">
        <v>8</v>
      </c>
      <c r="F16" s="41"/>
      <c r="N16" s="5" t="s">
        <v>29</v>
      </c>
      <c r="O16" s="7">
        <v>0</v>
      </c>
    </row>
    <row r="17" spans="1:15" ht="13.75" customHeight="1" x14ac:dyDescent="0.25">
      <c r="A17" s="2"/>
      <c r="B17" s="2" t="str">
        <f t="shared" si="0"/>
        <v>jeudi</v>
      </c>
      <c r="C17" s="3">
        <v>46177</v>
      </c>
      <c r="D17" s="2">
        <v>991</v>
      </c>
      <c r="E17" s="14">
        <v>8</v>
      </c>
      <c r="F17" s="41"/>
      <c r="I17" s="11" t="s">
        <v>50</v>
      </c>
      <c r="J17">
        <v>130</v>
      </c>
      <c r="K17">
        <v>160</v>
      </c>
      <c r="N17" s="5" t="s">
        <v>30</v>
      </c>
      <c r="O17" s="7">
        <v>0</v>
      </c>
    </row>
    <row r="18" spans="1:15" ht="13.75" customHeight="1" x14ac:dyDescent="0.25">
      <c r="A18" s="2"/>
      <c r="B18" s="2" t="str">
        <f t="shared" si="0"/>
        <v>vendredi</v>
      </c>
      <c r="C18" s="3">
        <v>46178</v>
      </c>
      <c r="D18" s="2">
        <v>991</v>
      </c>
      <c r="E18" s="14">
        <v>8</v>
      </c>
      <c r="F18" s="41"/>
      <c r="H18" s="11" t="s">
        <v>45</v>
      </c>
      <c r="I18" s="11" t="s">
        <v>54</v>
      </c>
      <c r="J18">
        <v>6</v>
      </c>
      <c r="K18">
        <v>9</v>
      </c>
      <c r="N18" s="5" t="s">
        <v>31</v>
      </c>
      <c r="O18" s="7">
        <v>0</v>
      </c>
    </row>
    <row r="19" spans="1:15" ht="13.75" customHeight="1" x14ac:dyDescent="0.25">
      <c r="A19" s="2"/>
      <c r="B19" s="2" t="str">
        <f t="shared" si="0"/>
        <v>samedi</v>
      </c>
      <c r="C19" s="3">
        <v>46179</v>
      </c>
      <c r="D19" s="2">
        <v>991</v>
      </c>
      <c r="E19" s="14">
        <v>8</v>
      </c>
      <c r="F19" s="41"/>
      <c r="G19" s="15">
        <v>3</v>
      </c>
      <c r="H19" s="11" t="s">
        <v>46</v>
      </c>
      <c r="I19" s="11" t="s">
        <v>55</v>
      </c>
      <c r="J19">
        <v>6</v>
      </c>
      <c r="K19">
        <v>17</v>
      </c>
      <c r="N19" s="5" t="s">
        <v>32</v>
      </c>
      <c r="O19" s="7">
        <v>0</v>
      </c>
    </row>
    <row r="20" spans="1:15" ht="13.75" customHeight="1" x14ac:dyDescent="0.25">
      <c r="A20" s="2"/>
      <c r="B20" s="2" t="str">
        <f t="shared" si="0"/>
        <v>dimanche</v>
      </c>
      <c r="C20" s="3">
        <v>46180</v>
      </c>
      <c r="D20" s="2">
        <v>991</v>
      </c>
      <c r="E20">
        <v>8</v>
      </c>
      <c r="H20" s="11" t="s">
        <v>47</v>
      </c>
      <c r="I20" s="11" t="s">
        <v>56</v>
      </c>
      <c r="J20">
        <v>3</v>
      </c>
      <c r="K20">
        <v>0</v>
      </c>
      <c r="N20" s="5" t="s">
        <v>33</v>
      </c>
      <c r="O20" s="7">
        <v>0</v>
      </c>
    </row>
    <row r="21" spans="1:15" ht="13.75" customHeight="1" x14ac:dyDescent="0.25">
      <c r="A21" s="2"/>
      <c r="B21" s="2" t="str">
        <f t="shared" si="0"/>
        <v>lundi</v>
      </c>
      <c r="C21" s="3">
        <v>46181</v>
      </c>
      <c r="D21" s="2">
        <v>991</v>
      </c>
      <c r="E21" s="14">
        <v>8</v>
      </c>
      <c r="F21" s="41">
        <v>56</v>
      </c>
      <c r="H21" s="11" t="s">
        <v>48</v>
      </c>
      <c r="I21" s="11" t="s">
        <v>57</v>
      </c>
      <c r="J21">
        <v>6</v>
      </c>
      <c r="K21" s="4">
        <v>5</v>
      </c>
      <c r="L21" s="2"/>
      <c r="N21" s="5" t="s">
        <v>34</v>
      </c>
      <c r="O21" s="7">
        <v>0</v>
      </c>
    </row>
    <row r="22" spans="1:15" ht="13.75" customHeight="1" x14ac:dyDescent="0.25">
      <c r="A22" s="2"/>
      <c r="B22" s="2" t="str">
        <f t="shared" si="0"/>
        <v>mardi</v>
      </c>
      <c r="C22" s="3">
        <v>46182</v>
      </c>
      <c r="D22" s="2">
        <v>991</v>
      </c>
      <c r="E22" s="14">
        <v>8</v>
      </c>
      <c r="F22" s="41"/>
      <c r="H22" s="11" t="s">
        <v>49</v>
      </c>
      <c r="I22" s="11" t="s">
        <v>66</v>
      </c>
      <c r="J22">
        <v>6</v>
      </c>
      <c r="K22">
        <v>14</v>
      </c>
      <c r="N22" s="5" t="s">
        <v>35</v>
      </c>
      <c r="O22" s="7">
        <v>0</v>
      </c>
    </row>
    <row r="23" spans="1:15" ht="13.75" customHeight="1" x14ac:dyDescent="0.3">
      <c r="A23" s="2"/>
      <c r="B23" s="2" t="str">
        <f t="shared" si="0"/>
        <v>mercredi</v>
      </c>
      <c r="C23" s="3">
        <v>46183</v>
      </c>
      <c r="D23" s="2">
        <v>991</v>
      </c>
      <c r="E23" s="14">
        <v>8</v>
      </c>
      <c r="F23" s="41"/>
      <c r="J23" s="16">
        <f t="shared" ref="J23:K23" si="1">SUM(J18:J22)</f>
        <v>27</v>
      </c>
      <c r="K23" s="16">
        <f t="shared" si="1"/>
        <v>45</v>
      </c>
      <c r="N23" s="5" t="s">
        <v>36</v>
      </c>
      <c r="O23" s="7">
        <v>0</v>
      </c>
    </row>
    <row r="24" spans="1:15" ht="13.75" customHeight="1" x14ac:dyDescent="0.25">
      <c r="A24" s="2"/>
      <c r="B24" s="2" t="str">
        <f t="shared" si="0"/>
        <v>jeudi</v>
      </c>
      <c r="C24" s="3">
        <v>46184</v>
      </c>
      <c r="D24" s="2">
        <v>991</v>
      </c>
      <c r="E24" s="14">
        <v>8</v>
      </c>
      <c r="F24" s="41"/>
      <c r="H24" s="11"/>
      <c r="N24" s="5" t="s">
        <v>10</v>
      </c>
      <c r="O24" s="7">
        <v>0</v>
      </c>
    </row>
    <row r="25" spans="1:15" ht="13.75" customHeight="1" x14ac:dyDescent="0.25">
      <c r="A25" s="2"/>
      <c r="B25" s="2" t="str">
        <f t="shared" si="0"/>
        <v>vendredi</v>
      </c>
      <c r="C25" s="3">
        <v>46185</v>
      </c>
      <c r="D25" s="2">
        <v>996</v>
      </c>
      <c r="E25" s="14">
        <v>12</v>
      </c>
      <c r="F25" s="41"/>
      <c r="G25" s="15">
        <v>4</v>
      </c>
      <c r="H25" s="42" t="s">
        <v>65</v>
      </c>
      <c r="I25" s="17">
        <v>4</v>
      </c>
      <c r="J25" s="18" t="s">
        <v>38</v>
      </c>
      <c r="N25" s="5" t="s">
        <v>11</v>
      </c>
      <c r="O25" s="7">
        <v>0</v>
      </c>
    </row>
    <row r="26" spans="1:15" ht="13.75" customHeight="1" x14ac:dyDescent="0.25">
      <c r="A26" s="2"/>
      <c r="B26" s="2" t="str">
        <f t="shared" si="0"/>
        <v>samedi</v>
      </c>
      <c r="C26" s="3">
        <v>46186</v>
      </c>
      <c r="D26" s="2">
        <v>996</v>
      </c>
      <c r="E26" s="14">
        <v>12</v>
      </c>
      <c r="F26" s="41"/>
      <c r="G26" s="15">
        <v>7</v>
      </c>
      <c r="H26" s="42"/>
      <c r="I26" s="17">
        <v>27</v>
      </c>
      <c r="J26" s="18" t="s">
        <v>60</v>
      </c>
      <c r="N26" s="5" t="s">
        <v>12</v>
      </c>
      <c r="O26" s="7">
        <v>0</v>
      </c>
    </row>
    <row r="27" spans="1:15" ht="13.75" customHeight="1" x14ac:dyDescent="0.25">
      <c r="A27" s="2"/>
      <c r="B27" s="2" t="str">
        <f t="shared" si="0"/>
        <v>dimanche</v>
      </c>
      <c r="C27" s="3">
        <v>46187</v>
      </c>
      <c r="D27" s="2">
        <v>996</v>
      </c>
      <c r="E27">
        <v>12</v>
      </c>
      <c r="G27" s="15">
        <v>4</v>
      </c>
      <c r="H27" s="42"/>
      <c r="I27" s="17">
        <v>45</v>
      </c>
      <c r="J27" s="18" t="s">
        <v>61</v>
      </c>
      <c r="N27" s="5" t="s">
        <v>13</v>
      </c>
      <c r="O27" s="7">
        <v>27</v>
      </c>
    </row>
    <row r="28" spans="1:15" ht="13.75" customHeight="1" x14ac:dyDescent="0.25">
      <c r="A28" s="2"/>
      <c r="B28" s="2" t="str">
        <f t="shared" si="0"/>
        <v>lundi</v>
      </c>
      <c r="C28" s="3">
        <v>46188</v>
      </c>
      <c r="D28" s="2">
        <v>996</v>
      </c>
      <c r="E28" s="14">
        <v>12</v>
      </c>
      <c r="G28" s="15">
        <v>4</v>
      </c>
      <c r="H28" s="11"/>
      <c r="N28" s="5" t="s">
        <v>14</v>
      </c>
      <c r="O28" s="7">
        <v>40</v>
      </c>
    </row>
    <row r="29" spans="1:15" ht="13.75" customHeight="1" x14ac:dyDescent="0.25">
      <c r="A29" s="2"/>
      <c r="B29" s="2" t="str">
        <f t="shared" si="0"/>
        <v>mardi</v>
      </c>
      <c r="C29" s="3">
        <v>46189</v>
      </c>
      <c r="D29" s="2">
        <v>996</v>
      </c>
      <c r="E29" s="14">
        <v>12</v>
      </c>
      <c r="G29" s="15">
        <v>4</v>
      </c>
      <c r="H29" s="11"/>
      <c r="N29" s="9" t="s">
        <v>15</v>
      </c>
      <c r="O29" s="9">
        <v>4</v>
      </c>
    </row>
    <row r="30" spans="1:15" ht="13.75" customHeight="1" x14ac:dyDescent="0.25">
      <c r="A30" s="2"/>
      <c r="B30" s="2" t="str">
        <f t="shared" si="0"/>
        <v>mercredi</v>
      </c>
      <c r="C30" s="3">
        <v>46190</v>
      </c>
      <c r="D30" s="2">
        <v>996</v>
      </c>
      <c r="E30" s="14">
        <v>12</v>
      </c>
      <c r="G30" s="15">
        <v>4</v>
      </c>
    </row>
    <row r="31" spans="1:15" ht="13.75" customHeight="1" x14ac:dyDescent="0.25">
      <c r="A31" s="2"/>
      <c r="B31" s="2" t="str">
        <f t="shared" si="0"/>
        <v>jeudi</v>
      </c>
      <c r="C31" s="3">
        <v>46191</v>
      </c>
      <c r="D31" s="2">
        <v>996</v>
      </c>
      <c r="E31" s="14">
        <v>12</v>
      </c>
      <c r="G31" s="15">
        <v>4</v>
      </c>
      <c r="H31">
        <f>76-64</f>
        <v>12</v>
      </c>
    </row>
    <row r="32" spans="1:15" ht="13.75" customHeight="1" x14ac:dyDescent="0.25">
      <c r="A32" s="2"/>
      <c r="B32" s="2" t="str">
        <f t="shared" si="0"/>
        <v>vendredi</v>
      </c>
      <c r="C32" s="3">
        <v>46192</v>
      </c>
      <c r="D32" s="2">
        <v>996</v>
      </c>
      <c r="E32">
        <v>12</v>
      </c>
      <c r="G32" s="15">
        <v>4</v>
      </c>
      <c r="M32" s="11"/>
    </row>
    <row r="33" spans="1:13" ht="13.75" customHeight="1" x14ac:dyDescent="0.25">
      <c r="A33" s="2"/>
      <c r="B33" s="2" t="str">
        <f t="shared" si="0"/>
        <v>samedi</v>
      </c>
      <c r="C33" s="3">
        <v>46193</v>
      </c>
      <c r="D33" s="2">
        <v>2</v>
      </c>
      <c r="E33">
        <v>0</v>
      </c>
      <c r="M33" s="11"/>
    </row>
  </sheetData>
  <mergeCells count="5">
    <mergeCell ref="F3:F6"/>
    <mergeCell ref="F7:F12"/>
    <mergeCell ref="F14:F19"/>
    <mergeCell ref="F21:F26"/>
    <mergeCell ref="H25:H27"/>
  </mergeCells>
  <conditionalFormatting sqref="B3:B31 A32:B32 D32 B33">
    <cfRule type="containsText" dxfId="0" priority="1" operator="containsText" text="dimanche">
      <formula>NOT(ISERROR(SEARCH("dimanche",A3)))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Esprit Sucrière (HS)</vt:lpstr>
      <vt:lpstr>Esprit Legal (HS)</vt:lpstr>
      <vt:lpstr>Complément Pose CSKN</vt:lpstr>
      <vt:lpstr>Esprit Legal (HS)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NIMI | CSKN</cp:lastModifiedBy>
  <dcterms:modified xsi:type="dcterms:W3CDTF">2026-10-03T11:53:04Z</dcterms:modified>
</cp:coreProperties>
</file>